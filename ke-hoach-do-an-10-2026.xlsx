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Tổng quan" sheetId="2" state="visible" r:id="rId4"/>
    <sheet name="Kế hoạch" sheetId="3" state="visible" r:id="rId5"/>
    <sheet name="Quyết định" sheetId="4" state="visible" r:id="rId6"/>
    <sheet name="Rủi ro" sheetId="5" state="visible" r:id="rId7"/>
  </sheets>
  <definedNames>
    <definedName function="false" hidden="true" localSheetId="2" name="_xlnm._FilterDatabase" vbProcedure="false">'Kế hoạch'!$A$2:$N$56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<sst xmlns="http://schemas.openxmlformats.org/spreadsheetml/2006/main" count="606" uniqueCount="324">
  <si>
    <t xml:space="preserve">KẾ HOẠCH HOÀN THÀNH ĐỒ ÁN — 21/09 đến 31/10/2026</t>
  </si>
  <si>
    <t xml:space="preserve">Temporal-Aware KG RAG cho pháp luật Việt Nam · CMT (Cao Minh Trí) và NMT (Nguyễn Minh Trí)</t>
  </si>
  <si>
    <t xml:space="preserve">MỤC TIÊU</t>
  </si>
  <si>
    <t xml:space="preserve">Hoàn thành phần chạy được của đồ án trong 6 tuần: đồ thị phiên bản trong Neo4j, bộ dữ liệu ViLexTime 1.150 câu, 7 đường cơ sở, hệ thống đề xuất L4–L5, và ablation. Viết bài báo và khóa luận nằm sau 31/10.</t>
  </si>
  <si>
    <t xml:space="preserve">ĐIỀU KIỆN KẾ HOẠCH NÀY GIẢ ĐỊNH</t>
  </si>
  <si>
    <t xml:space="preserve">1. Đề cương gốc chạy tới 01/02/2027. Kế hoạch này nén 4 tháng cuối vào 6 tuần, nên mọi việc đều ở mức tối thiểu chấp nhận được, không có thời gian dự phòng.</t>
  </si>
  <si>
    <t xml:space="preserve">2. Hai người làm song song gần như toàn thời gian. Một tuần mất vì thi cử hoặc việc khác là mất một mốc.</t>
  </si>
  <si>
    <t xml:space="preserve">3. Docker lên được trên laptop 16GB trong tuần 1. Không có nó thì toàn bộ nhánh Neo4j đứng, và M2 trượt kéo theo tất cả.</t>
  </si>
  <si>
    <t xml:space="preserve">4. Embedding 1,14 triệu nút chạy được trong tuần 3–4. Đây là rủi ro lịch lớn nhất, xem sheet Rủi ro dòng R1.</t>
  </si>
  <si>
    <t xml:space="preserve">NHỮNG VIỆC ĐÃ CẮT KHỎI PHẠM VI 31/10</t>
  </si>
  <si>
    <t xml:space="preserve">Giao diện minh họa (P6.7) · Phân tích lỗi miền giao thông (P7.2) · Dẫn chiếu chéo có nhận biết thời gian (P3.19) · Chuyển resolver sang Neo4j (P3.6) · LLM cho ca L2 khó (P3.12) · Viết bài báo (Giai đoạn 8) · Viết khóa luận và bảo vệ (Giai đoạn 9)</t>
  </si>
  <si>
    <t xml:space="preserve">Bốn việc đầu là mở rộng, cắt được. Hai việc cuối BẮT BUỘC phải làm, chỉ là nằm sau 31/10.</t>
  </si>
  <si>
    <t xml:space="preserve">CÁCH DÙNG</t>
  </si>
  <si>
    <t xml:space="preserve">Sheet 'Kế hoạch' là nơi làm việc hằng ngày. Mỗi người lọc theo cột 'Phụ trách' của mình.</t>
  </si>
  <si>
    <t xml:space="preserve">Chỉ sửa ô nền vàng: cột Trạng thái, cột Ngày thực tế xong, cột Ghi chú.</t>
  </si>
  <si>
    <t xml:space="preserve">Cột 'Bằng chứng xong' là điều kiện nghiệm thu. Không có bằng chứng thì không được đổi trạng thái sang Xong — đây là quy tắc đã có trong repo.</t>
  </si>
  <si>
    <t xml:space="preserve">Sheet 'Tổng quan' tự cập nhật theo cột Trạng thái, không cần sửa tay.</t>
  </si>
  <si>
    <t xml:space="preserve">HIỆN TRẠNG NGÀY 21/09/2026</t>
  </si>
  <si>
    <t xml:space="preserve">Đã xong 21/80 việc của đề cương. Giai đoạn 2 xong hoàn toàn. Giai đoạn 3 xong 7/19. Giai đoạn 4 vừa bắt đầu sớm: pool ứng viên ViLexTime đã dựng, 9.331 ứng viên.</t>
  </si>
  <si>
    <t xml:space="preserve">Đã đo được: chuỗi phiên bản đúng hướng 84% khi đối chiếu văn bản hợp nhất chính thức (284/337 nút), khớp chính xác 70/76. Chưa qua kiểm tay.</t>
  </si>
  <si>
    <t xml:space="preserve">TỔNG QUAN TIẾN ĐỘ</t>
  </si>
  <si>
    <t xml:space="preserve">Tự cập nhật theo cột Trạng thái của sheet Kế hoạch. Không sửa tay sheet này.</t>
  </si>
  <si>
    <t xml:space="preserve">TRẠNG THÁI CHUNG</t>
  </si>
  <si>
    <t xml:space="preserve">THEO TUẦN</t>
  </si>
  <si>
    <t xml:space="preserve">Tổng số việc</t>
  </si>
  <si>
    <t xml:space="preserve">Tuần</t>
  </si>
  <si>
    <t xml:space="preserve">Số việc</t>
  </si>
  <si>
    <t xml:space="preserve">Xong</t>
  </si>
  <si>
    <t xml:space="preserve">Còn lại</t>
  </si>
  <si>
    <t xml:space="preserve">T1 · 21–27/09</t>
  </si>
  <si>
    <t xml:space="preserve">Đang làm</t>
  </si>
  <si>
    <t xml:space="preserve">T2 · 28/09–04/10</t>
  </si>
  <si>
    <t xml:space="preserve">Chưa bắt đầu</t>
  </si>
  <si>
    <t xml:space="preserve">T3 · 05–11/10</t>
  </si>
  <si>
    <t xml:space="preserve">Bị chặn</t>
  </si>
  <si>
    <t xml:space="preserve">T4 · 12–18/10</t>
  </si>
  <si>
    <t xml:space="preserve">Tỷ lệ hoàn thành</t>
  </si>
  <si>
    <t xml:space="preserve">T5 · 19–25/10</t>
  </si>
  <si>
    <t xml:space="preserve">T6 · 26–31/10</t>
  </si>
  <si>
    <t xml:space="preserve">MỐC KIỂM TRA</t>
  </si>
  <si>
    <t xml:space="preserve">M2 · 12/10</t>
  </si>
  <si>
    <t xml:space="preserve">Chuỗi phiên bản thật trong Neo4j; snapshot đúng trên 100 truy vấn tay</t>
  </si>
  <si>
    <t xml:space="preserve">THEO NGƯỜI</t>
  </si>
  <si>
    <t xml:space="preserve">M3 · 18/10</t>
  </si>
  <si>
    <t xml:space="preserve">ViLexTime đủ câu; Cohen κ ≥ 0,6 trên 300 câu; dev/test chia xong</t>
  </si>
  <si>
    <t xml:space="preserve">Phụ trách</t>
  </si>
  <si>
    <t xml:space="preserve">M4 · 29/10</t>
  </si>
  <si>
    <t xml:space="preserve">Điểm quyết định B7 — phép thử của giả thuyết H2</t>
  </si>
  <si>
    <t xml:space="preserve">CMT</t>
  </si>
  <si>
    <t xml:space="preserve">M6' · 31/10</t>
  </si>
  <si>
    <t xml:space="preserve">Đủ kết quả A1–A7 phân rã theo T1–T6; bàn giao sang giai đoạn viết</t>
  </si>
  <si>
    <t xml:space="preserve">NMT</t>
  </si>
  <si>
    <t xml:space="preserve">CMT+NMT</t>
  </si>
  <si>
    <t xml:space="preserve">KẾ HOẠCH CHI TIẾT 21/09 – 31/10/2026 · chỉ sửa cột nền vàng: Trạng thái, Ngày thực tế xong, Ghi chú</t>
  </si>
  <si>
    <t xml:space="preserve">ID</t>
  </si>
  <si>
    <t xml:space="preserve">Nhóm việc</t>
  </si>
  <si>
    <t xml:space="preserve">Công việc</t>
  </si>
  <si>
    <t xml:space="preserve">Bằng chứng xong (điều kiện nghiệm thu)</t>
  </si>
  <si>
    <t xml:space="preserve">Phụ thuộc</t>
  </si>
  <si>
    <t xml:space="preserve">Bắt đầu</t>
  </si>
  <si>
    <t xml:space="preserve">Kết thúc</t>
  </si>
  <si>
    <t xml:space="preserve">Số ngày</t>
  </si>
  <si>
    <t xml:space="preserve">Trạng thái</t>
  </si>
  <si>
    <t xml:space="preserve">Ngày thực tế xong</t>
  </si>
  <si>
    <t xml:space="preserve">Ưu tiên</t>
  </si>
  <si>
    <t xml:space="preserve">Ghi chú</t>
  </si>
  <si>
    <t xml:space="preserve">W1-01</t>
  </si>
  <si>
    <t xml:space="preserve">GĐ3 Hạ tầng</t>
  </si>
  <si>
    <t xml:space="preserve">Cài Docker Engine + Compose v2 trên laptop 16GB</t>
  </si>
  <si>
    <t xml:space="preserve">docker compose version chạy được</t>
  </si>
  <si>
    <t xml:space="preserve">—</t>
  </si>
  <si>
    <t xml:space="preserve">Chặn</t>
  </si>
  <si>
    <t xml:space="preserve">W1-02</t>
  </si>
  <si>
    <t xml:space="preserve">docker compose up -d, đợi 4 dịch vụ healthy, chạy verify_graph_stack.py</t>
  </si>
  <si>
    <t xml:space="preserve">4 dịch vụ healthy; cả hai [PASS]; số RAM baseline ghi vào plan hạ tầng (P3.1, P3.2)</t>
  </si>
  <si>
    <t xml:space="preserve">W1-03</t>
  </si>
  <si>
    <t xml:space="preserve">Điều phối</t>
  </si>
  <si>
    <t xml:space="preserve">Gửi cố vấn luật: 95 ca hồi tố T5 + lịch duyệt 150 câu T5/T6</t>
  </si>
  <si>
    <t xml:space="preserve">Có người nhận và lịch làm việc cụ thể</t>
  </si>
  <si>
    <t xml:space="preserve">W1-04</t>
  </si>
  <si>
    <t xml:space="preserve">GĐ4 Dữ liệu</t>
  </si>
  <si>
    <t xml:space="preserve">Kiểm tay 150 dòng vilextime_sample.tsv (30 mỗi nhóm)</t>
  </si>
  <si>
    <t xml:space="preserve">Cột correct điền đủ 150 dòng; tỷ lệ dùng được từng nhóm</t>
  </si>
  <si>
    <t xml:space="preserve">Cao</t>
  </si>
  <si>
    <t xml:space="preserve">W1-05</t>
  </si>
  <si>
    <t xml:space="preserve">GĐ1 Đề cương</t>
  </si>
  <si>
    <t xml:space="preserve">Sửa mâu thuẫn đề cương §12: T6/T7, phạm vi κ, số mục tiêu, lỗi chính tả (P1.2)</t>
  </si>
  <si>
    <t xml:space="preserve">Không còn mục nào ở §12 của master plan</t>
  </si>
  <si>
    <t xml:space="preserve">W1-06</t>
  </si>
  <si>
    <t xml:space="preserve">Thống nhất giả thuyết H1–H4 và ký hiệu công thức (P1.5)</t>
  </si>
  <si>
    <t xml:space="preserve">H1–H4 vào đề cương hoặc bị loại có ghi lý do</t>
  </si>
  <si>
    <t xml:space="preserve">W1-07</t>
  </si>
  <si>
    <t xml:space="preserve">GĐ4 Chất lượng</t>
  </si>
  <si>
    <t xml:space="preserve">Đưa mini-E1 thành scripts/check/ chính thức làm cổng nghiệm thu L2</t>
  </si>
  <si>
    <t xml:space="preserve">Script chạy được; in tỷ lệ đúng hướng trên 380 nút đối chiếu</t>
  </si>
  <si>
    <t xml:space="preserve">W1-08</t>
  </si>
  <si>
    <t xml:space="preserve">Soi 53 ca chuỗi phiên bản sai hướng, tìm lớp lỗi chung</t>
  </si>
  <si>
    <t xml:space="preserve">Bảng phân loại lỗi; ít nhất 1 lớp lỗi sửa được xác định</t>
  </si>
  <si>
    <t xml:space="preserve">TB</t>
  </si>
  <si>
    <t xml:space="preserve">W1-09</t>
  </si>
  <si>
    <t xml:space="preserve">GĐ4 Nhãn</t>
  </si>
  <si>
    <t xml:space="preserve">Viết hướng dẫn gán nhãn T1–T6: định nghĩa vận hành, tiêu chí loại, ví dụ (P4.1 A2)</t>
  </si>
  <si>
    <t xml:space="preserve">docs/vilextime-annotation.md; hai người hiểu giống nhau trên 20 ví dụ thử</t>
  </si>
  <si>
    <t xml:space="preserve">W1-10</t>
  </si>
  <si>
    <t xml:space="preserve">GĐ3 Neo4j</t>
  </si>
  <si>
    <t xml:space="preserve">Schema Neo4j: ràng buộc unique id, cạnh CONTAINS/VERSION_OF/CAUSED_BY (D1)</t>
  </si>
  <si>
    <t xml:space="preserve">File schema chạy lại được không lỗi</t>
  </si>
  <si>
    <t xml:space="preserve">W1-11</t>
  </si>
  <si>
    <t xml:space="preserve">GĐ3 L2</t>
  </si>
  <si>
    <t xml:space="preserve">B1: tách câu hai thao tác (Bãi bỏ Điều 6 VÀ sửa đổi Điều 15)</t>
  </si>
  <si>
    <t xml:space="preserve">Test cho 2 lỗi của mẫu 20260923; E1 không tụt</t>
  </si>
  <si>
    <t xml:space="preserve">W2-01</t>
  </si>
  <si>
    <t xml:space="preserve">Loader load_neo4j.py: nạp Document, Provision, CONTAINS, Version theo lô (P3.4)</t>
  </si>
  <si>
    <t xml:space="preserve">Chạy 2 lần số nút không đổi; số nút khớp data/</t>
  </si>
  <si>
    <t xml:space="preserve">W2-02</t>
  </si>
  <si>
    <t xml:space="preserve">Nạp cạnh giữa văn bản thành 13 loại, khử trùng 157.795 → 128.289 (P3.5)</t>
  </si>
  <si>
    <t xml:space="preserve">Đếm theo loại khớp representation_benchmark.json</t>
  </si>
  <si>
    <t xml:space="preserve">W2-03</t>
  </si>
  <si>
    <t xml:space="preserve">B3: sửa đổi làm đổi cấu trúc → cập nhật + bãi bỏ con, kèm dò di dời</t>
  </si>
  <si>
    <t xml:space="preserve">structure_mismatch 4.447 giảm; E1 không tụt; mẫu kiểm tay riêng cho ca di dời</t>
  </si>
  <si>
    <t xml:space="preserve">W2-04</t>
  </si>
  <si>
    <t xml:space="preserve">B2: BỔ SUNG tạo nút mới thành ProvisionInsertion (~4.254 + 1.798 dây chuyền)</t>
  </si>
  <si>
    <t xml:space="preserve">Số event BỔ SUNG áp được &gt; 0; có precision trên mẫu riêng</t>
  </si>
  <si>
    <t xml:space="preserve">W2-05</t>
  </si>
  <si>
    <t xml:space="preserve">GĐ4 Sinh câu</t>
  </si>
  <si>
    <t xml:space="preserve">Prompt sinh câu hỏi từ bộ ba + kiểm tra tự động mọi số/mốc có trong bộ ba (P4.4)</t>
  </si>
  <si>
    <t xml:space="preserve">50 câu mẫu qua kiểm tra tự động; prompt lưu trong repo</t>
  </si>
  <si>
    <t xml:space="preserve">W2-06</t>
  </si>
  <si>
    <t xml:space="preserve">Cặp tương phản T2 dùng chung question_id, khác as_of</t>
  </si>
  <si>
    <t xml:space="preserve">Mỗi cặp có cùng question_id và 2 mốc</t>
  </si>
  <si>
    <t xml:space="preserve">W2-07</t>
  </si>
  <si>
    <t xml:space="preserve">GĐ5 Chuẩn bị</t>
  </si>
  <si>
    <t xml:space="preserve">Chốt LLM sinh và embedding model, đo tốc độ trên tập nhỏ (P5.1)</t>
  </si>
  <si>
    <t xml:space="preserve">Ghi thành decision; có số nút/giây đo thật</t>
  </si>
  <si>
    <t xml:space="preserve">W2-08</t>
  </si>
  <si>
    <t xml:space="preserve">Truy vấn snapshot bằng Cypher cho cùng kết quả với SnapshotService (D5)</t>
  </si>
  <si>
    <t xml:space="preserve">200/200 khớp trên mẫu</t>
  </si>
  <si>
    <t xml:space="preserve">W2-09</t>
  </si>
  <si>
    <t xml:space="preserve">Chốt tiêu chí loại ứng viên rác theo kết quả kiểm tay (P4.2 B3)</t>
  </si>
  <si>
    <t xml:space="preserve">Tỷ lệ dùng được từng nhóm; pool lọc lại</t>
  </si>
  <si>
    <t xml:space="preserve">W3-01</t>
  </si>
  <si>
    <t xml:space="preserve">GĐ3 L3</t>
  </si>
  <si>
    <t xml:space="preserve">Nạp chuỗi phiên bản và event vào Neo4j; kiểm đơn vị có ≥2 phiên bản (P3.15)</t>
  </si>
  <si>
    <t xml:space="preserve">Neo4j có nút với created_by_event_id khác rỗng</t>
  </si>
  <si>
    <t xml:space="preserve">W3-02</t>
  </si>
  <si>
    <t xml:space="preserve">GĐ3 Nghiệm thu</t>
  </si>
  <si>
    <t xml:space="preserve">100 truy vấn đối chiếu tay, phân tầng 30/20/15/15/20 (P3.18)</t>
  </si>
  <si>
    <t xml:space="preserve">Bảng 100 truy vấn có kết quả hệ thống, đáp án, người kiểm; đạt ngưỡng Q5</t>
  </si>
  <si>
    <t xml:space="preserve">W3-03</t>
  </si>
  <si>
    <t xml:space="preserve">Đo RAM và thời gian nạp full corpus vào Neo4j (P3.2)</t>
  </si>
  <si>
    <t xml:space="preserve">Số đo ghi vào plan hạ tầng</t>
  </si>
  <si>
    <t xml:space="preserve">W3-04</t>
  </si>
  <si>
    <t xml:space="preserve">1.626 QPPL có text nhưng không có cây: chỉ nạp Document (D4, quyết định Q4)</t>
  </si>
  <si>
    <t xml:space="preserve">Số Document khớp; không sinh Provision giả</t>
  </si>
  <si>
    <t xml:space="preserve">Thấp</t>
  </si>
  <si>
    <t xml:space="preserve">W3-05</t>
  </si>
  <si>
    <t xml:space="preserve">Sinh đủ quota: T1 250 · T2 400 · T3 200 · T4 150 · T6 100 (P4.5)</t>
  </si>
  <si>
    <t xml:space="preserve">Tổng 1.100 câu (chưa T5); mỗi câu truy ngược được về nút và event</t>
  </si>
  <si>
    <t xml:space="preserve">W3-06</t>
  </si>
  <si>
    <t xml:space="preserve">Cố vấn luật xác nhận 95 ca hồi tố theo Điều 152, chốt số câu T5 (P4.8)</t>
  </si>
  <si>
    <t xml:space="preserve">Số T5 chốt được; phần thiếu chuyển sang T6 theo quyết định 20/09</t>
  </si>
  <si>
    <t xml:space="preserve">W3-07</t>
  </si>
  <si>
    <t xml:space="preserve">GĐ5 Vector</t>
  </si>
  <si>
    <t xml:space="preserve">Collection Milvus theo phiên bản: vector, eff_from/eff_to thực, level, doc (P5.2)</t>
  </si>
  <si>
    <t xml:space="preserve">Kiểm chứng analyzer BM25 tiếng Việt trước khi nạp</t>
  </si>
  <si>
    <t xml:space="preserve">W3-08</t>
  </si>
  <si>
    <t xml:space="preserve">BẮT ĐẦU tạo embedding ~1,14 triệu nút, chạy nền có checkpoint (P5.3)</t>
  </si>
  <si>
    <t xml:space="preserve">Ghi thời gian thực tế; checkpoint khôi phục được</t>
  </si>
  <si>
    <t xml:space="preserve">W3-09</t>
  </si>
  <si>
    <t xml:space="preserve">GĐ5 Chỉ số</t>
  </si>
  <si>
    <t xml:space="preserve">Recall@k, MRR, TV-Recall@k, Accuracy, EM/F1 (P5.4)</t>
  </si>
  <si>
    <t xml:space="preserve">Có unit test cho từng chỉ số</t>
  </si>
  <si>
    <t xml:space="preserve">W4-01</t>
  </si>
  <si>
    <t xml:space="preserve">MỐC</t>
  </si>
  <si>
    <t xml:space="preserve">M2 — nghiệm thu: chuỗi phiên bản thật trong Neo4j, snapshot đúng 100 truy vấn</t>
  </si>
  <si>
    <t xml:space="preserve">Bốn tiêu chí xong Giai đoạn 3 đều có bằng chứng chạy được</t>
  </si>
  <si>
    <t xml:space="preserve">W4-02</t>
  </si>
  <si>
    <t xml:space="preserve">GĐ4 Kiểm định</t>
  </si>
  <si>
    <t xml:space="preserve">Kiểm chéo độc lập 300 câu: toàn bộ T5, T6 + 50 mẫu mỗi nhóm T2, T3, T4 (P4.7)</t>
  </si>
  <si>
    <t xml:space="preserve">Cohen κ ≥ 0,6; nếu thấp hơn thì viết lại hướng dẫn và kiểm lại</t>
  </si>
  <si>
    <t xml:space="preserve">W4-03</t>
  </si>
  <si>
    <t xml:space="preserve">Chia tập dev/test theo VĂN BẢN, kiểm tra không rò rỉ (P4.9, quyết định Q6)</t>
  </si>
  <si>
    <t xml:space="preserve">Giao của tập document_id hai bên là rỗng</t>
  </si>
  <si>
    <t xml:space="preserve">W4-04</t>
  </si>
  <si>
    <t xml:space="preserve">TVER, VCR, TCS theo công thức 6–8 (P5.5)</t>
  </si>
  <si>
    <t xml:space="preserve">Unit test trên ví dụ tính tay</t>
  </si>
  <si>
    <t xml:space="preserve">W4-05</t>
  </si>
  <si>
    <t xml:space="preserve">GĐ5 Baseline</t>
  </si>
  <si>
    <t xml:space="preserve">B1 — LLM không truy xuất (P5.7)</t>
  </si>
  <si>
    <t xml:space="preserve">Kết quả trên dev; log câu trả lời lưu lại</t>
  </si>
  <si>
    <t xml:space="preserve">W4-06</t>
  </si>
  <si>
    <t xml:space="preserve">B2 — BM25 + sinh (P5.8)</t>
  </si>
  <si>
    <t xml:space="preserve">Kết quả trên dev</t>
  </si>
  <si>
    <t xml:space="preserve">W4-07</t>
  </si>
  <si>
    <t xml:space="preserve">B7 — lọc metadata cấp văn bản, không dùng đồ thị (P5.13) — LÀM SỚM NHẤT</t>
  </si>
  <si>
    <t xml:space="preserve">Kết quả trên dev; đây là đối chứng quyết định của H2</t>
  </si>
  <si>
    <t xml:space="preserve">W4-08</t>
  </si>
  <si>
    <t xml:space="preserve">LLM-as-judge hiệu chuẩn trên 100 mẫu (P5.6)</t>
  </si>
  <si>
    <t xml:space="preserve">Báo cáo độ đồng thuận với người chấm</t>
  </si>
  <si>
    <t xml:space="preserve">W4-09</t>
  </si>
  <si>
    <t xml:space="preserve">M3 — nghiệm thu: ViLexTime đủ số câu, Cohen κ ≥ 0,6, dev/test chia xong</t>
  </si>
  <si>
    <t xml:space="preserve">Bảng quota theo nhóm; biên bản kiểm định có tên người kiểm</t>
  </si>
  <si>
    <t xml:space="preserve">W5-01</t>
  </si>
  <si>
    <t xml:space="preserve">B3 — Dense retrieval + sinh (P5.9)</t>
  </si>
  <si>
    <t xml:space="preserve">W5-02</t>
  </si>
  <si>
    <t xml:space="preserve">B4 — Hybrid + reranker (P5.10)</t>
  </si>
  <si>
    <t xml:space="preserve">W5-03</t>
  </si>
  <si>
    <t xml:space="preserve">B5 — GraphRAG phi thời gian, LightRAG (P5.11)</t>
  </si>
  <si>
    <t xml:space="preserve">W5-04</t>
  </si>
  <si>
    <t xml:space="preserve">B6 — KG phân cấp cho pháp luật Việt Nam, tái hiện [10][11] (P5.12)</t>
  </si>
  <si>
    <t xml:space="preserve">W5-05</t>
  </si>
  <si>
    <t xml:space="preserve">GĐ6 Hệ thống</t>
  </si>
  <si>
    <t xml:space="preserve">L4: lọc 𝒰ₜ theo công thức (4) — Milvus lọc, Neo4j xác nhận top-k (P6.1)</t>
  </si>
  <si>
    <t xml:space="preserve">Không trả bằng chứng mất hiệu lực trên tập dev</t>
  </si>
  <si>
    <t xml:space="preserve">W5-06</t>
  </si>
  <si>
    <t xml:space="preserve">L4: chấm điểm lai công thức (5) — từ vựng + ngữ nghĩa + láng giềng (P6.2)</t>
  </si>
  <si>
    <t xml:space="preserve">Lưu riêng từng tín hiệu để làm ablation</t>
  </si>
  <si>
    <t xml:space="preserve">W5-07</t>
  </si>
  <si>
    <t xml:space="preserve">L5: sinh câu trả lời ràng buộc trích dẫn Điều/Khoản/Điểm (P6.4)</t>
  </si>
  <si>
    <t xml:space="preserve">Mọi câu trả lời có trích dẫn tới nút cụ thể</t>
  </si>
  <si>
    <t xml:space="preserve">W5-08</t>
  </si>
  <si>
    <t xml:space="preserve">L5: Temporal Verifier loại bỏ hoặc cảnh báo trích dẫn không hợp lệ tại t (P6.6)</t>
  </si>
  <si>
    <t xml:space="preserve">Trích dẫn hết hiệu lực bị chặn trên tập dev</t>
  </si>
  <si>
    <t xml:space="preserve">W6-01</t>
  </si>
  <si>
    <t xml:space="preserve">Tinh chỉnh số bước mở rộng, λ, μ trên tập dev (P6.3)</t>
  </si>
  <si>
    <t xml:space="preserve">Bảng tham số; chỉ dùng dev, không đụng test</t>
  </si>
  <si>
    <t xml:space="preserve">W6-02</t>
  </si>
  <si>
    <t xml:space="preserve">Tác tử suy luận mốc thời gian từ câu hỏi (P6.5)</t>
  </si>
  <si>
    <t xml:space="preserve">Suy đúng mốc t trên mẫu dev</t>
  </si>
  <si>
    <t xml:space="preserve">W6-03</t>
  </si>
  <si>
    <t xml:space="preserve">GĐ7 Kết quả</t>
  </si>
  <si>
    <t xml:space="preserve">Chạy toàn bộ B1–B7 và hệ thống đề xuất trên tập TEST, thu kết quả</t>
  </si>
  <si>
    <t xml:space="preserve">Bảng kết quả đầy đủ theo mọi chỉ số</t>
  </si>
  <si>
    <t xml:space="preserve">W6-04</t>
  </si>
  <si>
    <t xml:space="preserve">M4 — điểm quyết định B7: nếu B7 gần mức trần thì đánh giá lại L2–L4 (P5.14)</t>
  </si>
  <si>
    <t xml:space="preserve">So sánh có ý nghĩa thống kê giữa hệ thống đề xuất và B7 trên nhóm T6</t>
  </si>
  <si>
    <t xml:space="preserve">W6-05</t>
  </si>
  <si>
    <t xml:space="preserve">GĐ7 Ablation</t>
  </si>
  <si>
    <t xml:space="preserve">Ablation A1–A4: bỏ ràng buộc thời gian, mở rộng đồ thị, Verifier, trích xuất cấp khoản (P7.1)</t>
  </si>
  <si>
    <t xml:space="preserve">Bảng ablation; mỗi dòng truy ngược được về cấu hình</t>
  </si>
  <si>
    <t xml:space="preserve">W6-06</t>
  </si>
  <si>
    <t xml:space="preserve">Ablation A5–A7: độ chi tiết đơn vị, quy mô model, chuyển miền sang Thuế (P7.3, P7.4)</t>
  </si>
  <si>
    <t xml:space="preserve">Bảng ablation; A7 không tinh chỉnh lại</t>
  </si>
  <si>
    <t xml:space="preserve">W6-07</t>
  </si>
  <si>
    <t xml:space="preserve">Phân rã kết quả theo T1–T6 và kiểm định giả thuyết H1–H4 (P7.5)</t>
  </si>
  <si>
    <t xml:space="preserve">Mỗi giả thuyết được xác nhận hoặc bác bỏ có số liệu</t>
  </si>
  <si>
    <t xml:space="preserve">W6-08</t>
  </si>
  <si>
    <t xml:space="preserve">M6' — kết thúc phần chạy được của đồ án</t>
  </si>
  <si>
    <t xml:space="preserve">Đủ kết quả A1–A7 phân rã theo T1–T6; bàn giao cho giai đoạn viết</t>
  </si>
  <si>
    <t xml:space="preserve">QUYẾT ĐỊNH CÒN CHỜ — mỗi dòng đang chặn một việc trong sheet Kế hoạch</t>
  </si>
  <si>
    <t xml:space="preserve">Mã</t>
  </si>
  <si>
    <t xml:space="preserve">Câu hỏi</t>
  </si>
  <si>
    <t xml:space="preserve">Đề xuất</t>
  </si>
  <si>
    <t xml:space="preserve">Ai quyết</t>
  </si>
  <si>
    <t xml:space="preserve">Hạn</t>
  </si>
  <si>
    <t xml:space="preserve">Chặn việc</t>
  </si>
  <si>
    <t xml:space="preserve">GĐ4-Q4</t>
  </si>
  <si>
    <t xml:space="preserve">T3 chỉ có 331 ứng viên cho 200 câu, dồn trong 124 văn bản</t>
  </si>
  <si>
    <t xml:space="preserve">Sinh T3 sau khi làm xong B2/B3; tới tuần 4 vẫn dưới 300 thì hạ T3 xuống 150 và chuyển 50 câu sang T2</t>
  </si>
  <si>
    <t xml:space="preserve">Chờ</t>
  </si>
  <si>
    <t xml:space="preserve">GĐ3-Q5</t>
  </si>
  <si>
    <t xml:space="preserve">Ngưỡng đạt của kiểm chứng snapshot 100 truy vấn (P3.18)</t>
  </si>
  <si>
    <t xml:space="preserve">≥ 95/100, giống ngưỡng đã dùng cho backfill T5</t>
  </si>
  <si>
    <t xml:space="preserve">GĐ4-Q5</t>
  </si>
  <si>
    <t xml:space="preserve">Model sinh câu hỏi khi P5.1 chưa chốt</t>
  </si>
  <si>
    <t xml:space="preserve">Dùng model nào sẵn có; nhãn vàng không phụ thuộc model, chỉ cần ghi tên và tham số vào từng dòng</t>
  </si>
  <si>
    <t xml:space="preserve">P3.12</t>
  </si>
  <si>
    <t xml:space="preserve">Có dùng LLM cho ~12.000 ca L2 regex không đọc nổi không</t>
  </si>
  <si>
    <t xml:space="preserve">Hoãn tới sau 31/10; nếu dùng thì LLM chỉ sinh ứng viên, pipeline xác định vẫn là cổng</t>
  </si>
  <si>
    <t xml:space="preserve">Đề xuất hoãn</t>
  </si>
  <si>
    <t xml:space="preserve">P5.3</t>
  </si>
  <si>
    <t xml:space="preserve">Embedding 1,14 triệu nút: chạy full corpus hay thu hẹp</t>
  </si>
  <si>
    <t xml:space="preserve">Đo tốc độ trước ở W2-07. Nếu quá 5 ngày thì chỉ embedding nút thuộc 2.949 văn bản của ViLexTime cộng miền giao thông</t>
  </si>
  <si>
    <t xml:space="preserve">SỔ RỦI RO — xếp theo mức đe dọa tới hạn 31/10</t>
  </si>
  <si>
    <t xml:space="preserve">Rủi ro</t>
  </si>
  <si>
    <t xml:space="preserve">Ảnh hưởng nếu xảy ra</t>
  </si>
  <si>
    <t xml:space="preserve">Dấu hiệu sớm</t>
  </si>
  <si>
    <t xml:space="preserve">Cách giảm thiểu</t>
  </si>
  <si>
    <t xml:space="preserve">Mức</t>
  </si>
  <si>
    <t xml:space="preserve">Theo dõi</t>
  </si>
  <si>
    <t xml:space="preserve">R1</t>
  </si>
  <si>
    <t xml:space="preserve">Embedding 1,14 triệu nút trên CPU mất nhiều ngày</t>
  </si>
  <si>
    <t xml:space="preserve">Trượt toàn bộ nhánh baseline B3, B4 và hệ thống L4 — mất tuần 5 và 6</t>
  </si>
  <si>
    <t xml:space="preserve">Đo ở W2-07: nếu dưới 300 nút/giây thì full corpus mất hơn 4 ngày</t>
  </si>
  <si>
    <t xml:space="preserve">Đo sớm; tìm GPU; hoặc thu hẹp còn nút thuộc 2.949 VB của ViLexTime; chạy nền có checkpoint</t>
  </si>
  <si>
    <t xml:space="preserve">RẤT CAO</t>
  </si>
  <si>
    <t xml:space="preserve">R2</t>
  </si>
  <si>
    <t xml:space="preserve">Nén 4 tháng của đề cương vào 6 tuần</t>
  </si>
  <si>
    <t xml:space="preserve">Một việc trượt là kéo cả chuỗi, vì kế hoạch không có ngày dự phòng nào</t>
  </si>
  <si>
    <t xml:space="preserve">Hết tuần 2 mà chưa nạp được Neo4j</t>
  </si>
  <si>
    <t xml:space="preserve">Tuần 4 rà lại: nếu trượt thì cắt tiếp B6, A7, tác tử suy luận mốc; giữ bằng được M2, M3, M4</t>
  </si>
  <si>
    <t xml:space="preserve">R3</t>
  </si>
  <si>
    <t xml:space="preserve">Docker không lên được trên laptop 16GB</t>
  </si>
  <si>
    <t xml:space="preserve">Chặn P3.4, P3.5, toàn bộ M2, và mọi baseline dùng đồ thị</t>
  </si>
  <si>
    <t xml:space="preserve">Hết 23/09 chưa có 4 dịch vụ healthy</t>
  </si>
  <si>
    <t xml:space="preserve">Làm ngay ngày đầu; nếu thiếu RAM thì tắt Milvus khi nạp đồ thị, hạ heap Neo4j theo runbook</t>
  </si>
  <si>
    <t xml:space="preserve">CAO</t>
  </si>
  <si>
    <t xml:space="preserve">R4</t>
  </si>
  <si>
    <t xml:space="preserve">Cohen κ &lt; 0,6 ở kiểm chéo 300 câu</t>
  </si>
  <si>
    <t xml:space="preserve">Phải viết lại hướng dẫn gán nhãn và kiểm lại — mất trọn một tuần, M3 trượt</t>
  </si>
  <si>
    <t xml:space="preserve">Hai người lệch nhau trên 20 ví dụ thử ở W1-09</t>
  </si>
  <si>
    <t xml:space="preserve">Viết hướng dẫn kỹ ở tuần 1; thử 20 ví dụ trước khi gán thật; thống nhất trước khi làm 300 câu</t>
  </si>
  <si>
    <t xml:space="preserve">R5</t>
  </si>
  <si>
    <t xml:space="preserve">T3 chỉ dư 1,7 lần (331 ứng viên cho 200 câu), dồn trong 124 văn bản</t>
  </si>
  <si>
    <t xml:space="preserve">Nhóm đo lợi ích của đồ thị bị mỏng, kết quả kém thuyết phục</t>
  </si>
  <si>
    <t xml:space="preserve">Sau B2/B3 mà T3 vẫn dưới 300</t>
  </si>
  <si>
    <t xml:space="preserve">Quyết định GĐ4-Q4: hạ T3 xuống 150 và chuyển 50 câu sang T2</t>
  </si>
  <si>
    <t xml:space="preserve">TRUNG BÌNH</t>
  </si>
  <si>
    <t xml:space="preserve">R6</t>
  </si>
  <si>
    <t xml:space="preserve">Precision L2 tụt sau khi thêm B1, B2, B3</t>
  </si>
  <si>
    <t xml:space="preserve">Nhãn vàng sai lan vào ViLexTime; vòng 4 của L2 đã từng bị đúng chuyện này</t>
  </si>
  <si>
    <t xml:space="preserve">Script E1 báo tỷ lệ đúng hướng tụt dưới 84%</t>
  </si>
  <si>
    <t xml:space="preserve">W1-07 dựng E1 thành cổng tự động; mỗi thay đổi L2 đo lại trước khi nhận, tụt thì trả lại</t>
  </si>
  <si>
    <t xml:space="preserve">R7</t>
  </si>
  <si>
    <t xml:space="preserve">Cố vấn luật không phản hồi kịp</t>
  </si>
  <si>
    <t xml:space="preserve">T5 không chốt được số câu; 150 câu T5/T6 không có người duyệt chuyên môn</t>
  </si>
  <si>
    <t xml:space="preserve">Hết tuần 2 chưa có lịch làm việc</t>
  </si>
  <si>
    <t xml:space="preserve">Liên hệ ngay ngày 21/09; nếu tới 10/10 chưa có thì hạ quota T5 và ghi rõ lý do trong khóa luận</t>
  </si>
  <si>
    <t xml:space="preserve">R8</t>
  </si>
  <si>
    <t xml:space="preserve">Kiểm chứng độc lập bị chặn trần ở 106 cặp văn bản hợp nhất</t>
  </si>
  <si>
    <t xml:space="preserve">Không mở rộng được bằng chứng khách quan; phải ghi thành giới hạn của nghiên cứu</t>
  </si>
  <si>
    <t xml:space="preserve">Đã xác định: 294/309 văn bản hợp nhất còn lại chỉ có bản PDF</t>
  </si>
  <si>
    <t xml:space="preserve">Chấp nhận và ghi vào chương đánh giá; bù bằng kiểm tay 100 truy vấn của P3.18</t>
  </si>
  <si>
    <t xml:space="preserve">THẤP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</si>
</sst>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7F4F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FFF2CC"/>
        <bgColor rgb="FFFCE4E4"/>
      </patternFill>
    </fill>
    <fill>
      <patternFill patternType="solid">
        <fgColor rgb="FFD9E2F3"/>
        <bgColor rgb="FFFCE4E4"/>
      </patternFill>
    </fill>
    <fill>
      <patternFill patternType="solid">
        <fgColor rgb="FFFFE699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7F4F00"/>
      <rgbColor rgb="FF993366"/>
      <rgbColor rgb="FF5555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5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30" hidden="false" customHeight="true" outlineLevel="0" collapsed="false">
      <c r="A3" s="3"/>
    </row>
    <row r="4" customFormat="false" ht="19.5" hidden="false" customHeight="true" outlineLevel="0" collapsed="false">
      <c r="A4" s="4" t="s">
        <v>2</v>
      </c>
    </row>
    <row r="5" customFormat="false" ht="30" hidden="false" customHeight="true" outlineLevel="0" collapsed="false">
      <c r="A5" s="3" t="s">
        <v>3</v>
      </c>
    </row>
    <row r="6" customFormat="false" ht="30" hidden="false" customHeight="true" outlineLevel="0" collapsed="false">
      <c r="A6" s="3"/>
    </row>
    <row r="7" customFormat="false" ht="19.5" hidden="false" customHeight="true" outlineLevel="0" collapsed="false">
      <c r="A7" s="4" t="s">
        <v>4</v>
      </c>
    </row>
    <row r="8" customFormat="false" ht="30" hidden="false" customHeight="true" outlineLevel="0" collapsed="false">
      <c r="A8" s="3" t="s">
        <v>5</v>
      </c>
    </row>
    <row r="9" customFormat="false" ht="30" hidden="false" customHeight="true" outlineLevel="0" collapsed="false">
      <c r="A9" s="3" t="s">
        <v>6</v>
      </c>
    </row>
    <row r="10" customFormat="false" ht="30" hidden="false" customHeight="true" outlineLevel="0" collapsed="false">
      <c r="A10" s="3" t="s">
        <v>7</v>
      </c>
    </row>
    <row r="11" customFormat="false" ht="30" hidden="false" customHeight="true" outlineLevel="0" collapsed="false">
      <c r="A11" s="3" t="s">
        <v>8</v>
      </c>
    </row>
    <row r="12" customFormat="false" ht="30" hidden="false" customHeight="true" outlineLevel="0" collapsed="false">
      <c r="A12" s="3"/>
    </row>
    <row r="13" customFormat="false" ht="19.5" hidden="false" customHeight="true" outlineLevel="0" collapsed="false">
      <c r="A13" s="4" t="s">
        <v>9</v>
      </c>
    </row>
    <row r="14" customFormat="false" ht="30" hidden="false" customHeight="true" outlineLevel="0" collapsed="false">
      <c r="A14" s="3" t="s">
        <v>10</v>
      </c>
    </row>
    <row r="15" customFormat="false" ht="30" hidden="false" customHeight="true" outlineLevel="0" collapsed="false">
      <c r="A15" s="5" t="s">
        <v>11</v>
      </c>
    </row>
    <row r="16" customFormat="false" ht="30" hidden="false" customHeight="true" outlineLevel="0" collapsed="false">
      <c r="A16" s="3"/>
    </row>
    <row r="17" customFormat="false" ht="19.5" hidden="false" customHeight="true" outlineLevel="0" collapsed="false">
      <c r="A17" s="4" t="s">
        <v>12</v>
      </c>
    </row>
    <row r="18" customFormat="false" ht="30" hidden="false" customHeight="true" outlineLevel="0" collapsed="false">
      <c r="A18" s="3" t="s">
        <v>13</v>
      </c>
    </row>
    <row r="19" customFormat="false" ht="30" hidden="false" customHeight="true" outlineLevel="0" collapsed="false">
      <c r="A19" s="3" t="s">
        <v>14</v>
      </c>
    </row>
    <row r="20" customFormat="false" ht="30" hidden="false" customHeight="true" outlineLevel="0" collapsed="false">
      <c r="A20" s="3" t="s">
        <v>15</v>
      </c>
    </row>
    <row r="21" customFormat="false" ht="30" hidden="false" customHeight="true" outlineLevel="0" collapsed="false">
      <c r="A21" s="3" t="s">
        <v>16</v>
      </c>
    </row>
    <row r="22" customFormat="false" ht="30" hidden="false" customHeight="true" outlineLevel="0" collapsed="false">
      <c r="A22" s="3"/>
    </row>
    <row r="23" customFormat="false" ht="19.5" hidden="false" customHeight="true" outlineLevel="0" collapsed="false">
      <c r="A23" s="4" t="s">
        <v>17</v>
      </c>
    </row>
    <row r="24" customFormat="false" ht="30" hidden="false" customHeight="true" outlineLevel="0" collapsed="false">
      <c r="A24" s="3" t="s">
        <v>18</v>
      </c>
    </row>
    <row r="25" customFormat="false" ht="30" hidden="false" customHeight="true" outlineLevel="0" collapsed="false">
      <c r="A2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6" t="s">
        <v>20</v>
      </c>
    </row>
    <row r="2" customFormat="false" ht="15" hidden="false" customHeight="false" outlineLevel="0" collapsed="false">
      <c r="A2" s="7" t="s">
        <v>21</v>
      </c>
    </row>
    <row r="4" customFormat="false" ht="15" hidden="false" customHeight="false" outlineLevel="0" collapsed="false">
      <c r="A4" s="8" t="s">
        <v>22</v>
      </c>
      <c r="B4" s="9"/>
      <c r="D4" s="8" t="s">
        <v>23</v>
      </c>
      <c r="E4" s="9"/>
      <c r="F4" s="9"/>
      <c r="G4" s="9"/>
    </row>
    <row r="5" customFormat="false" ht="15" hidden="false" customHeight="false" outlineLevel="0" collapsed="false">
      <c r="A5" s="10" t="s">
        <v>24</v>
      </c>
      <c r="B5" s="11" t="n">
        <f aca="false">COUNTA('Kế hoạch'!$K$3:$K$56)</f>
        <v>54</v>
      </c>
      <c r="D5" s="12" t="s">
        <v>25</v>
      </c>
      <c r="E5" s="12" t="s">
        <v>26</v>
      </c>
      <c r="F5" s="12" t="s">
        <v>27</v>
      </c>
      <c r="G5" s="12" t="s">
        <v>28</v>
      </c>
    </row>
    <row r="6" customFormat="false" ht="15" hidden="false" customHeight="false" outlineLevel="0" collapsed="false">
      <c r="A6" s="10" t="s">
        <v>27</v>
      </c>
      <c r="B6" s="11" t="n">
        <f aca="false">COUNTIF('Kế hoạch'!$K$3:$K$56,"Xong")</f>
        <v>0</v>
      </c>
      <c r="D6" s="13" t="s">
        <v>29</v>
      </c>
      <c r="E6" s="14" t="n">
        <f aca="false">COUNTIF('Kế hoạch'!$B$3:$B$56,1)</f>
        <v>11</v>
      </c>
      <c r="F6" s="14" t="n">
        <f aca="false">COUNTIFS('Kế hoạch'!$B$3:$B$56,1,'Kế hoạch'!$K$3:$K$56,"Xong")</f>
        <v>0</v>
      </c>
      <c r="G6" s="14" t="n">
        <f aca="false">E6-F6</f>
        <v>11</v>
      </c>
    </row>
    <row r="7" customFormat="false" ht="15" hidden="false" customHeight="false" outlineLevel="0" collapsed="false">
      <c r="A7" s="10" t="s">
        <v>30</v>
      </c>
      <c r="B7" s="11" t="n">
        <f aca="false">COUNTIF('Kế hoạch'!$K$3:$K$56,"Đang làm")</f>
        <v>0</v>
      </c>
      <c r="D7" s="13" t="s">
        <v>31</v>
      </c>
      <c r="E7" s="14" t="n">
        <f aca="false">COUNTIF('Kế hoạch'!$B$3:$B$56,2)</f>
        <v>9</v>
      </c>
      <c r="F7" s="14" t="n">
        <f aca="false">COUNTIFS('Kế hoạch'!$B$3:$B$56,2,'Kế hoạch'!$K$3:$K$56,"Xong")</f>
        <v>0</v>
      </c>
      <c r="G7" s="14" t="n">
        <f aca="false">E7-F7</f>
        <v>9</v>
      </c>
    </row>
    <row r="8" customFormat="false" ht="15" hidden="false" customHeight="false" outlineLevel="0" collapsed="false">
      <c r="A8" s="10" t="s">
        <v>32</v>
      </c>
      <c r="B8" s="11" t="n">
        <f aca="false">COUNTIF('Kế hoạch'!$K$3:$K$56,"Chưa bắt đầu")</f>
        <v>54</v>
      </c>
      <c r="D8" s="13" t="s">
        <v>33</v>
      </c>
      <c r="E8" s="14" t="n">
        <f aca="false">COUNTIF('Kế hoạch'!$B$3:$B$56,3)</f>
        <v>9</v>
      </c>
      <c r="F8" s="14" t="n">
        <f aca="false">COUNTIFS('Kế hoạch'!$B$3:$B$56,3,'Kế hoạch'!$K$3:$K$56,"Xong")</f>
        <v>0</v>
      </c>
      <c r="G8" s="14" t="n">
        <f aca="false">E8-F8</f>
        <v>9</v>
      </c>
    </row>
    <row r="9" customFormat="false" ht="15" hidden="false" customHeight="false" outlineLevel="0" collapsed="false">
      <c r="A9" s="10" t="s">
        <v>34</v>
      </c>
      <c r="B9" s="11" t="n">
        <f aca="false">COUNTIF('Kế hoạch'!$K$3:$K$56,"Bị chặn")</f>
        <v>0</v>
      </c>
      <c r="D9" s="13" t="s">
        <v>35</v>
      </c>
      <c r="E9" s="14" t="n">
        <f aca="false">COUNTIF('Kế hoạch'!$B$3:$B$56,4)</f>
        <v>9</v>
      </c>
      <c r="F9" s="14" t="n">
        <f aca="false">COUNTIFS('Kế hoạch'!$B$3:$B$56,4,'Kế hoạch'!$K$3:$K$56,"Xong")</f>
        <v>0</v>
      </c>
      <c r="G9" s="14" t="n">
        <f aca="false">E9-F9</f>
        <v>9</v>
      </c>
    </row>
    <row r="10" customFormat="false" ht="15" hidden="false" customHeight="false" outlineLevel="0" collapsed="false">
      <c r="A10" s="10" t="s">
        <v>36</v>
      </c>
      <c r="B10" s="15" t="n">
        <f aca="false">IFERROR(B6/B5,0)</f>
        <v>0</v>
      </c>
      <c r="D10" s="13" t="s">
        <v>37</v>
      </c>
      <c r="E10" s="14" t="n">
        <f aca="false">COUNTIF('Kế hoạch'!$B$3:$B$56,5)</f>
        <v>8</v>
      </c>
      <c r="F10" s="14" t="n">
        <f aca="false">COUNTIFS('Kế hoạch'!$B$3:$B$56,5,'Kế hoạch'!$K$3:$K$56,"Xong")</f>
        <v>0</v>
      </c>
      <c r="G10" s="14" t="n">
        <f aca="false">E10-F10</f>
        <v>8</v>
      </c>
    </row>
    <row r="11" customFormat="false" ht="15" hidden="false" customHeight="false" outlineLevel="0" collapsed="false">
      <c r="D11" s="13" t="s">
        <v>38</v>
      </c>
      <c r="E11" s="14" t="n">
        <f aca="false">COUNTIF('Kế hoạch'!$B$3:$B$56,6)</f>
        <v>8</v>
      </c>
      <c r="F11" s="14" t="n">
        <f aca="false">COUNTIFS('Kế hoạch'!$B$3:$B$56,6,'Kế hoạch'!$K$3:$K$56,"Xong")</f>
        <v>0</v>
      </c>
      <c r="G11" s="14" t="n">
        <f aca="false">E11-F11</f>
        <v>8</v>
      </c>
    </row>
    <row r="12" customFormat="false" ht="15" hidden="false" customHeight="false" outlineLevel="0" collapsed="false">
      <c r="A12" s="8" t="s">
        <v>39</v>
      </c>
      <c r="B12" s="9"/>
    </row>
    <row r="13" customFormat="false" ht="15" hidden="false" customHeight="false" outlineLevel="0" collapsed="false">
      <c r="A13" s="16" t="s">
        <v>40</v>
      </c>
      <c r="B13" s="17" t="s">
        <v>41</v>
      </c>
      <c r="D13" s="8" t="s">
        <v>42</v>
      </c>
      <c r="E13" s="9"/>
      <c r="F13" s="9"/>
      <c r="G13" s="9"/>
    </row>
    <row r="14" customFormat="false" ht="15" hidden="false" customHeight="false" outlineLevel="0" collapsed="false">
      <c r="A14" s="16" t="s">
        <v>43</v>
      </c>
      <c r="B14" s="17" t="s">
        <v>44</v>
      </c>
      <c r="D14" s="12" t="s">
        <v>45</v>
      </c>
      <c r="E14" s="12" t="s">
        <v>26</v>
      </c>
      <c r="F14" s="12" t="s">
        <v>27</v>
      </c>
      <c r="G14" s="12" t="s">
        <v>28</v>
      </c>
    </row>
    <row r="15" customFormat="false" ht="15" hidden="false" customHeight="false" outlineLevel="0" collapsed="false">
      <c r="A15" s="16" t="s">
        <v>46</v>
      </c>
      <c r="B15" s="17" t="s">
        <v>47</v>
      </c>
      <c r="D15" s="13" t="s">
        <v>48</v>
      </c>
      <c r="E15" s="14" t="n">
        <f aca="false">COUNTIF('Kế hoạch'!$F$3:$F$56,"CMT")</f>
        <v>27</v>
      </c>
      <c r="F15" s="14" t="n">
        <f aca="false">COUNTIFS('Kế hoạch'!$F$3:$F$56,"CMT",'Kế hoạch'!$K$3:$K$56,"Xong")</f>
        <v>0</v>
      </c>
      <c r="G15" s="14" t="n">
        <f aca="false">E15-F15</f>
        <v>27</v>
      </c>
    </row>
    <row r="16" customFormat="false" ht="15" hidden="false" customHeight="false" outlineLevel="0" collapsed="false">
      <c r="A16" s="16" t="s">
        <v>49</v>
      </c>
      <c r="B16" s="17" t="s">
        <v>50</v>
      </c>
      <c r="D16" s="13" t="s">
        <v>51</v>
      </c>
      <c r="E16" s="14" t="n">
        <f aca="false">COUNTIF('Kế hoạch'!$F$3:$F$56,"NMT")</f>
        <v>18</v>
      </c>
      <c r="F16" s="14" t="n">
        <f aca="false">COUNTIFS('Kế hoạch'!$F$3:$F$56,"NMT",'Kế hoạch'!$K$3:$K$56,"Xong")</f>
        <v>0</v>
      </c>
      <c r="G16" s="14" t="n">
        <f aca="false">E16-F16</f>
        <v>18</v>
      </c>
    </row>
    <row r="17" customFormat="false" ht="15" hidden="false" customHeight="false" outlineLevel="0" collapsed="false">
      <c r="D17" s="13" t="s">
        <v>52</v>
      </c>
      <c r="E17" s="14" t="n">
        <f aca="false">COUNTIF('Kế hoạch'!$F$3:$F$56,"CMT+NMT")</f>
        <v>9</v>
      </c>
      <c r="F17" s="14" t="n">
        <f aca="false">COUNTIFS('Kế hoạch'!$F$3:$F$56,"CMT+NMT",'Kế hoạch'!$K$3:$K$56,"Xong")</f>
        <v>0</v>
      </c>
      <c r="G17" s="14" t="n">
        <f aca="false">E17-F17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50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26"/>
  </cols>
  <sheetData>
    <row r="1" customFormat="false" ht="15" hidden="false" customHeight="false" outlineLevel="0" collapsed="false">
      <c r="A1" s="18" t="s">
        <v>53</v>
      </c>
    </row>
    <row r="2" customFormat="false" ht="32.8" hidden="false" customHeight="false" outlineLevel="0" collapsed="false">
      <c r="A2" s="19" t="s">
        <v>54</v>
      </c>
      <c r="B2" s="19" t="s">
        <v>25</v>
      </c>
      <c r="C2" s="19" t="s">
        <v>55</v>
      </c>
      <c r="D2" s="19" t="s">
        <v>56</v>
      </c>
      <c r="E2" s="19" t="s">
        <v>57</v>
      </c>
      <c r="F2" s="19" t="s">
        <v>45</v>
      </c>
      <c r="G2" s="19" t="s">
        <v>58</v>
      </c>
      <c r="H2" s="19" t="s">
        <v>59</v>
      </c>
      <c r="I2" s="19" t="s">
        <v>60</v>
      </c>
      <c r="J2" s="19" t="s">
        <v>61</v>
      </c>
      <c r="K2" s="19" t="s">
        <v>62</v>
      </c>
      <c r="L2" s="19" t="s">
        <v>63</v>
      </c>
      <c r="M2" s="19" t="s">
        <v>64</v>
      </c>
      <c r="N2" s="19" t="s">
        <v>65</v>
      </c>
    </row>
    <row r="3" customFormat="false" ht="42" hidden="false" customHeight="true" outlineLevel="0" collapsed="false">
      <c r="A3" s="20" t="s">
        <v>66</v>
      </c>
      <c r="B3" s="20" t="n">
        <v>1</v>
      </c>
      <c r="C3" s="21" t="s">
        <v>67</v>
      </c>
      <c r="D3" s="21" t="s">
        <v>68</v>
      </c>
      <c r="E3" s="21" t="s">
        <v>69</v>
      </c>
      <c r="F3" s="20" t="s">
        <v>48</v>
      </c>
      <c r="G3" s="20" t="s">
        <v>70</v>
      </c>
      <c r="H3" s="22" t="n">
        <v>46286</v>
      </c>
      <c r="I3" s="22" t="n">
        <v>46287</v>
      </c>
      <c r="J3" s="20" t="n">
        <f aca="false">I3-H3+1</f>
        <v>2</v>
      </c>
      <c r="K3" s="23" t="s">
        <v>32</v>
      </c>
      <c r="L3" s="24"/>
      <c r="M3" s="25" t="s">
        <v>71</v>
      </c>
      <c r="N3" s="26"/>
    </row>
    <row r="4" customFormat="false" ht="42" hidden="false" customHeight="true" outlineLevel="0" collapsed="false">
      <c r="A4" s="20" t="s">
        <v>72</v>
      </c>
      <c r="B4" s="20" t="n">
        <v>1</v>
      </c>
      <c r="C4" s="21" t="s">
        <v>67</v>
      </c>
      <c r="D4" s="21" t="s">
        <v>73</v>
      </c>
      <c r="E4" s="21" t="s">
        <v>74</v>
      </c>
      <c r="F4" s="20" t="s">
        <v>48</v>
      </c>
      <c r="G4" s="20" t="s">
        <v>66</v>
      </c>
      <c r="H4" s="22" t="n">
        <v>46287</v>
      </c>
      <c r="I4" s="22" t="n">
        <v>46288</v>
      </c>
      <c r="J4" s="20" t="n">
        <f aca="false">I4-H4+1</f>
        <v>2</v>
      </c>
      <c r="K4" s="23" t="s">
        <v>32</v>
      </c>
      <c r="L4" s="24"/>
      <c r="M4" s="25" t="s">
        <v>71</v>
      </c>
      <c r="N4" s="26"/>
    </row>
    <row r="5" customFormat="false" ht="42" hidden="false" customHeight="true" outlineLevel="0" collapsed="false">
      <c r="A5" s="20" t="s">
        <v>75</v>
      </c>
      <c r="B5" s="20" t="n">
        <v>1</v>
      </c>
      <c r="C5" s="21" t="s">
        <v>76</v>
      </c>
      <c r="D5" s="21" t="s">
        <v>77</v>
      </c>
      <c r="E5" s="21" t="s">
        <v>78</v>
      </c>
      <c r="F5" s="20" t="s">
        <v>48</v>
      </c>
      <c r="G5" s="20" t="s">
        <v>70</v>
      </c>
      <c r="H5" s="22" t="n">
        <v>46286</v>
      </c>
      <c r="I5" s="22" t="n">
        <v>46287</v>
      </c>
      <c r="J5" s="20" t="n">
        <f aca="false">I5-H5+1</f>
        <v>2</v>
      </c>
      <c r="K5" s="23" t="s">
        <v>32</v>
      </c>
      <c r="L5" s="24"/>
      <c r="M5" s="25" t="s">
        <v>71</v>
      </c>
      <c r="N5" s="26"/>
    </row>
    <row r="6" customFormat="false" ht="42" hidden="false" customHeight="true" outlineLevel="0" collapsed="false">
      <c r="A6" s="20" t="s">
        <v>79</v>
      </c>
      <c r="B6" s="20" t="n">
        <v>1</v>
      </c>
      <c r="C6" s="21" t="s">
        <v>80</v>
      </c>
      <c r="D6" s="21" t="s">
        <v>81</v>
      </c>
      <c r="E6" s="21" t="s">
        <v>82</v>
      </c>
      <c r="F6" s="20" t="s">
        <v>48</v>
      </c>
      <c r="G6" s="20" t="s">
        <v>70</v>
      </c>
      <c r="H6" s="22" t="n">
        <v>46287</v>
      </c>
      <c r="I6" s="22" t="n">
        <v>46290</v>
      </c>
      <c r="J6" s="20" t="n">
        <f aca="false">I6-H6+1</f>
        <v>4</v>
      </c>
      <c r="K6" s="23" t="s">
        <v>32</v>
      </c>
      <c r="L6" s="24"/>
      <c r="M6" s="20" t="s">
        <v>83</v>
      </c>
      <c r="N6" s="26"/>
    </row>
    <row r="7" customFormat="false" ht="42" hidden="false" customHeight="true" outlineLevel="0" collapsed="false">
      <c r="A7" s="20" t="s">
        <v>84</v>
      </c>
      <c r="B7" s="20" t="n">
        <v>1</v>
      </c>
      <c r="C7" s="21" t="s">
        <v>85</v>
      </c>
      <c r="D7" s="21" t="s">
        <v>86</v>
      </c>
      <c r="E7" s="21" t="s">
        <v>87</v>
      </c>
      <c r="F7" s="20" t="s">
        <v>52</v>
      </c>
      <c r="G7" s="20" t="s">
        <v>70</v>
      </c>
      <c r="H7" s="22" t="n">
        <v>46286</v>
      </c>
      <c r="I7" s="22" t="n">
        <v>46289</v>
      </c>
      <c r="J7" s="20" t="n">
        <f aca="false">I7-H7+1</f>
        <v>4</v>
      </c>
      <c r="K7" s="23" t="s">
        <v>32</v>
      </c>
      <c r="L7" s="24"/>
      <c r="M7" s="20" t="s">
        <v>83</v>
      </c>
      <c r="N7" s="26"/>
    </row>
    <row r="8" customFormat="false" ht="42" hidden="false" customHeight="true" outlineLevel="0" collapsed="false">
      <c r="A8" s="20" t="s">
        <v>88</v>
      </c>
      <c r="B8" s="20" t="n">
        <v>1</v>
      </c>
      <c r="C8" s="21" t="s">
        <v>85</v>
      </c>
      <c r="D8" s="21" t="s">
        <v>89</v>
      </c>
      <c r="E8" s="21" t="s">
        <v>90</v>
      </c>
      <c r="F8" s="20" t="s">
        <v>51</v>
      </c>
      <c r="G8" s="20" t="s">
        <v>84</v>
      </c>
      <c r="H8" s="22" t="n">
        <v>46289</v>
      </c>
      <c r="I8" s="22" t="n">
        <v>46291</v>
      </c>
      <c r="J8" s="20" t="n">
        <f aca="false">I8-H8+1</f>
        <v>3</v>
      </c>
      <c r="K8" s="23" t="s">
        <v>32</v>
      </c>
      <c r="L8" s="24"/>
      <c r="M8" s="20" t="s">
        <v>83</v>
      </c>
      <c r="N8" s="26"/>
    </row>
    <row r="9" customFormat="false" ht="42" hidden="false" customHeight="true" outlineLevel="0" collapsed="false">
      <c r="A9" s="20" t="s">
        <v>91</v>
      </c>
      <c r="B9" s="20" t="n">
        <v>1</v>
      </c>
      <c r="C9" s="21" t="s">
        <v>92</v>
      </c>
      <c r="D9" s="21" t="s">
        <v>93</v>
      </c>
      <c r="E9" s="21" t="s">
        <v>94</v>
      </c>
      <c r="F9" s="20" t="s">
        <v>48</v>
      </c>
      <c r="G9" s="20" t="s">
        <v>70</v>
      </c>
      <c r="H9" s="22" t="n">
        <v>46286</v>
      </c>
      <c r="I9" s="22" t="n">
        <v>46288</v>
      </c>
      <c r="J9" s="20" t="n">
        <f aca="false">I9-H9+1</f>
        <v>3</v>
      </c>
      <c r="K9" s="23" t="s">
        <v>32</v>
      </c>
      <c r="L9" s="24"/>
      <c r="M9" s="20" t="s">
        <v>83</v>
      </c>
      <c r="N9" s="26"/>
    </row>
    <row r="10" customFormat="false" ht="42" hidden="false" customHeight="true" outlineLevel="0" collapsed="false">
      <c r="A10" s="20" t="s">
        <v>95</v>
      </c>
      <c r="B10" s="20" t="n">
        <v>1</v>
      </c>
      <c r="C10" s="21" t="s">
        <v>92</v>
      </c>
      <c r="D10" s="21" t="s">
        <v>96</v>
      </c>
      <c r="E10" s="21" t="s">
        <v>97</v>
      </c>
      <c r="F10" s="20" t="s">
        <v>48</v>
      </c>
      <c r="G10" s="20" t="s">
        <v>91</v>
      </c>
      <c r="H10" s="22" t="n">
        <v>46288</v>
      </c>
      <c r="I10" s="22" t="n">
        <v>46290</v>
      </c>
      <c r="J10" s="20" t="n">
        <f aca="false">I10-H10+1</f>
        <v>3</v>
      </c>
      <c r="K10" s="23" t="s">
        <v>32</v>
      </c>
      <c r="L10" s="24"/>
      <c r="M10" s="20" t="s">
        <v>98</v>
      </c>
      <c r="N10" s="26"/>
    </row>
    <row r="11" customFormat="false" ht="42" hidden="false" customHeight="true" outlineLevel="0" collapsed="false">
      <c r="A11" s="20" t="s">
        <v>99</v>
      </c>
      <c r="B11" s="20" t="n">
        <v>1</v>
      </c>
      <c r="C11" s="21" t="s">
        <v>100</v>
      </c>
      <c r="D11" s="21" t="s">
        <v>101</v>
      </c>
      <c r="E11" s="21" t="s">
        <v>102</v>
      </c>
      <c r="F11" s="20" t="s">
        <v>51</v>
      </c>
      <c r="G11" s="20" t="s">
        <v>84</v>
      </c>
      <c r="H11" s="22" t="n">
        <v>46287</v>
      </c>
      <c r="I11" s="22" t="n">
        <v>46291</v>
      </c>
      <c r="J11" s="20" t="n">
        <f aca="false">I11-H11+1</f>
        <v>5</v>
      </c>
      <c r="K11" s="23" t="s">
        <v>32</v>
      </c>
      <c r="L11" s="24"/>
      <c r="M11" s="20" t="s">
        <v>83</v>
      </c>
      <c r="N11" s="26"/>
    </row>
    <row r="12" customFormat="false" ht="42" hidden="false" customHeight="true" outlineLevel="0" collapsed="false">
      <c r="A12" s="20" t="s">
        <v>103</v>
      </c>
      <c r="B12" s="20" t="n">
        <v>1</v>
      </c>
      <c r="C12" s="21" t="s">
        <v>104</v>
      </c>
      <c r="D12" s="21" t="s">
        <v>105</v>
      </c>
      <c r="E12" s="21" t="s">
        <v>106</v>
      </c>
      <c r="F12" s="20" t="s">
        <v>48</v>
      </c>
      <c r="G12" s="20" t="s">
        <v>72</v>
      </c>
      <c r="H12" s="22" t="n">
        <v>46289</v>
      </c>
      <c r="I12" s="22" t="n">
        <v>46291</v>
      </c>
      <c r="J12" s="20" t="n">
        <f aca="false">I12-H12+1</f>
        <v>3</v>
      </c>
      <c r="K12" s="23" t="s">
        <v>32</v>
      </c>
      <c r="L12" s="24"/>
      <c r="M12" s="20" t="s">
        <v>83</v>
      </c>
      <c r="N12" s="26"/>
    </row>
    <row r="13" customFormat="false" ht="42" hidden="false" customHeight="true" outlineLevel="0" collapsed="false">
      <c r="A13" s="20" t="s">
        <v>107</v>
      </c>
      <c r="B13" s="20" t="n">
        <v>1</v>
      </c>
      <c r="C13" s="21" t="s">
        <v>108</v>
      </c>
      <c r="D13" s="21" t="s">
        <v>109</v>
      </c>
      <c r="E13" s="21" t="s">
        <v>110</v>
      </c>
      <c r="F13" s="20" t="s">
        <v>48</v>
      </c>
      <c r="G13" s="20" t="s">
        <v>91</v>
      </c>
      <c r="H13" s="22" t="n">
        <v>46290</v>
      </c>
      <c r="I13" s="22" t="n">
        <v>46292</v>
      </c>
      <c r="J13" s="20" t="n">
        <f aca="false">I13-H13+1</f>
        <v>3</v>
      </c>
      <c r="K13" s="23" t="s">
        <v>32</v>
      </c>
      <c r="L13" s="24"/>
      <c r="M13" s="20" t="s">
        <v>98</v>
      </c>
      <c r="N13" s="26"/>
    </row>
    <row r="14" customFormat="false" ht="42" hidden="false" customHeight="true" outlineLevel="0" collapsed="false">
      <c r="A14" s="20" t="s">
        <v>111</v>
      </c>
      <c r="B14" s="20" t="n">
        <v>2</v>
      </c>
      <c r="C14" s="21" t="s">
        <v>104</v>
      </c>
      <c r="D14" s="21" t="s">
        <v>112</v>
      </c>
      <c r="E14" s="21" t="s">
        <v>113</v>
      </c>
      <c r="F14" s="20" t="s">
        <v>48</v>
      </c>
      <c r="G14" s="20" t="s">
        <v>103</v>
      </c>
      <c r="H14" s="22" t="n">
        <v>46293</v>
      </c>
      <c r="I14" s="22" t="n">
        <v>46296</v>
      </c>
      <c r="J14" s="20" t="n">
        <f aca="false">I14-H14+1</f>
        <v>4</v>
      </c>
      <c r="K14" s="23" t="s">
        <v>32</v>
      </c>
      <c r="L14" s="24"/>
      <c r="M14" s="25" t="s">
        <v>71</v>
      </c>
      <c r="N14" s="26"/>
    </row>
    <row r="15" customFormat="false" ht="42" hidden="false" customHeight="true" outlineLevel="0" collapsed="false">
      <c r="A15" s="20" t="s">
        <v>114</v>
      </c>
      <c r="B15" s="20" t="n">
        <v>2</v>
      </c>
      <c r="C15" s="21" t="s">
        <v>104</v>
      </c>
      <c r="D15" s="21" t="s">
        <v>115</v>
      </c>
      <c r="E15" s="21" t="s">
        <v>116</v>
      </c>
      <c r="F15" s="20" t="s">
        <v>48</v>
      </c>
      <c r="G15" s="20" t="s">
        <v>111</v>
      </c>
      <c r="H15" s="22" t="n">
        <v>46296</v>
      </c>
      <c r="I15" s="22" t="n">
        <v>46298</v>
      </c>
      <c r="J15" s="20" t="n">
        <f aca="false">I15-H15+1</f>
        <v>3</v>
      </c>
      <c r="K15" s="23" t="s">
        <v>32</v>
      </c>
      <c r="L15" s="24"/>
      <c r="M15" s="20" t="s">
        <v>83</v>
      </c>
      <c r="N15" s="26"/>
    </row>
    <row r="16" customFormat="false" ht="42" hidden="false" customHeight="true" outlineLevel="0" collapsed="false">
      <c r="A16" s="20" t="s">
        <v>117</v>
      </c>
      <c r="B16" s="20" t="n">
        <v>2</v>
      </c>
      <c r="C16" s="21" t="s">
        <v>108</v>
      </c>
      <c r="D16" s="21" t="s">
        <v>118</v>
      </c>
      <c r="E16" s="21" t="s">
        <v>119</v>
      </c>
      <c r="F16" s="20" t="s">
        <v>48</v>
      </c>
      <c r="G16" s="20" t="s">
        <v>107</v>
      </c>
      <c r="H16" s="22" t="n">
        <v>46293</v>
      </c>
      <c r="I16" s="22" t="n">
        <v>46297</v>
      </c>
      <c r="J16" s="20" t="n">
        <f aca="false">I16-H16+1</f>
        <v>5</v>
      </c>
      <c r="K16" s="23" t="s">
        <v>32</v>
      </c>
      <c r="L16" s="24"/>
      <c r="M16" s="20" t="s">
        <v>83</v>
      </c>
      <c r="N16" s="26"/>
    </row>
    <row r="17" customFormat="false" ht="42" hidden="false" customHeight="true" outlineLevel="0" collapsed="false">
      <c r="A17" s="20" t="s">
        <v>120</v>
      </c>
      <c r="B17" s="20" t="n">
        <v>2</v>
      </c>
      <c r="C17" s="21" t="s">
        <v>108</v>
      </c>
      <c r="D17" s="21" t="s">
        <v>121</v>
      </c>
      <c r="E17" s="21" t="s">
        <v>122</v>
      </c>
      <c r="F17" s="20" t="s">
        <v>48</v>
      </c>
      <c r="G17" s="20" t="s">
        <v>117</v>
      </c>
      <c r="H17" s="22" t="n">
        <v>46297</v>
      </c>
      <c r="I17" s="22" t="n">
        <v>46299</v>
      </c>
      <c r="J17" s="20" t="n">
        <f aca="false">I17-H17+1</f>
        <v>3</v>
      </c>
      <c r="K17" s="23" t="s">
        <v>32</v>
      </c>
      <c r="L17" s="24"/>
      <c r="M17" s="20" t="s">
        <v>98</v>
      </c>
      <c r="N17" s="26"/>
    </row>
    <row r="18" customFormat="false" ht="42" hidden="false" customHeight="true" outlineLevel="0" collapsed="false">
      <c r="A18" s="20" t="s">
        <v>123</v>
      </c>
      <c r="B18" s="20" t="n">
        <v>2</v>
      </c>
      <c r="C18" s="21" t="s">
        <v>124</v>
      </c>
      <c r="D18" s="21" t="s">
        <v>125</v>
      </c>
      <c r="E18" s="21" t="s">
        <v>126</v>
      </c>
      <c r="F18" s="20" t="s">
        <v>51</v>
      </c>
      <c r="G18" s="20" t="s">
        <v>99</v>
      </c>
      <c r="H18" s="22" t="n">
        <v>46293</v>
      </c>
      <c r="I18" s="22" t="n">
        <v>46296</v>
      </c>
      <c r="J18" s="20" t="n">
        <f aca="false">I18-H18+1</f>
        <v>4</v>
      </c>
      <c r="K18" s="23" t="s">
        <v>32</v>
      </c>
      <c r="L18" s="24"/>
      <c r="M18" s="25" t="s">
        <v>71</v>
      </c>
      <c r="N18" s="26"/>
    </row>
    <row r="19" customFormat="false" ht="42" hidden="false" customHeight="true" outlineLevel="0" collapsed="false">
      <c r="A19" s="20" t="s">
        <v>127</v>
      </c>
      <c r="B19" s="20" t="n">
        <v>2</v>
      </c>
      <c r="C19" s="21" t="s">
        <v>124</v>
      </c>
      <c r="D19" s="21" t="s">
        <v>128</v>
      </c>
      <c r="E19" s="21" t="s">
        <v>129</v>
      </c>
      <c r="F19" s="20" t="s">
        <v>51</v>
      </c>
      <c r="G19" s="20" t="s">
        <v>123</v>
      </c>
      <c r="H19" s="22" t="n">
        <v>46296</v>
      </c>
      <c r="I19" s="22" t="n">
        <v>46297</v>
      </c>
      <c r="J19" s="20" t="n">
        <f aca="false">I19-H19+1</f>
        <v>2</v>
      </c>
      <c r="K19" s="23" t="s">
        <v>32</v>
      </c>
      <c r="L19" s="24"/>
      <c r="M19" s="20" t="s">
        <v>83</v>
      </c>
      <c r="N19" s="26"/>
    </row>
    <row r="20" customFormat="false" ht="42" hidden="false" customHeight="true" outlineLevel="0" collapsed="false">
      <c r="A20" s="20" t="s">
        <v>130</v>
      </c>
      <c r="B20" s="20" t="n">
        <v>2</v>
      </c>
      <c r="C20" s="21" t="s">
        <v>131</v>
      </c>
      <c r="D20" s="21" t="s">
        <v>132</v>
      </c>
      <c r="E20" s="21" t="s">
        <v>133</v>
      </c>
      <c r="F20" s="20" t="s">
        <v>52</v>
      </c>
      <c r="G20" s="20" t="s">
        <v>70</v>
      </c>
      <c r="H20" s="22" t="n">
        <v>46293</v>
      </c>
      <c r="I20" s="22" t="n">
        <v>46295</v>
      </c>
      <c r="J20" s="20" t="n">
        <f aca="false">I20-H20+1</f>
        <v>3</v>
      </c>
      <c r="K20" s="23" t="s">
        <v>32</v>
      </c>
      <c r="L20" s="24"/>
      <c r="M20" s="25" t="s">
        <v>71</v>
      </c>
      <c r="N20" s="26"/>
    </row>
    <row r="21" customFormat="false" ht="42" hidden="false" customHeight="true" outlineLevel="0" collapsed="false">
      <c r="A21" s="20" t="s">
        <v>134</v>
      </c>
      <c r="B21" s="20" t="n">
        <v>2</v>
      </c>
      <c r="C21" s="21" t="s">
        <v>104</v>
      </c>
      <c r="D21" s="21" t="s">
        <v>135</v>
      </c>
      <c r="E21" s="21" t="s">
        <v>136</v>
      </c>
      <c r="F21" s="20" t="s">
        <v>48</v>
      </c>
      <c r="G21" s="20" t="s">
        <v>111</v>
      </c>
      <c r="H21" s="22" t="n">
        <v>46297</v>
      </c>
      <c r="I21" s="22" t="n">
        <v>46299</v>
      </c>
      <c r="J21" s="20" t="n">
        <f aca="false">I21-H21+1</f>
        <v>3</v>
      </c>
      <c r="K21" s="23" t="s">
        <v>32</v>
      </c>
      <c r="L21" s="24"/>
      <c r="M21" s="20" t="s">
        <v>83</v>
      </c>
      <c r="N21" s="26"/>
    </row>
    <row r="22" customFormat="false" ht="42" hidden="false" customHeight="true" outlineLevel="0" collapsed="false">
      <c r="A22" s="20" t="s">
        <v>137</v>
      </c>
      <c r="B22" s="20" t="n">
        <v>2</v>
      </c>
      <c r="C22" s="21" t="s">
        <v>80</v>
      </c>
      <c r="D22" s="21" t="s">
        <v>138</v>
      </c>
      <c r="E22" s="21" t="s">
        <v>139</v>
      </c>
      <c r="F22" s="20" t="s">
        <v>51</v>
      </c>
      <c r="G22" s="20" t="s">
        <v>79</v>
      </c>
      <c r="H22" s="22" t="n">
        <v>46294</v>
      </c>
      <c r="I22" s="22" t="n">
        <v>46296</v>
      </c>
      <c r="J22" s="20" t="n">
        <f aca="false">I22-H22+1</f>
        <v>3</v>
      </c>
      <c r="K22" s="23" t="s">
        <v>32</v>
      </c>
      <c r="L22" s="24"/>
      <c r="M22" s="20" t="s">
        <v>83</v>
      </c>
      <c r="N22" s="26"/>
    </row>
    <row r="23" customFormat="false" ht="42" hidden="false" customHeight="true" outlineLevel="0" collapsed="false">
      <c r="A23" s="20" t="s">
        <v>140</v>
      </c>
      <c r="B23" s="20" t="n">
        <v>3</v>
      </c>
      <c r="C23" s="21" t="s">
        <v>141</v>
      </c>
      <c r="D23" s="21" t="s">
        <v>142</v>
      </c>
      <c r="E23" s="21" t="s">
        <v>143</v>
      </c>
      <c r="F23" s="20" t="s">
        <v>48</v>
      </c>
      <c r="G23" s="20" t="s">
        <v>111</v>
      </c>
      <c r="H23" s="22" t="n">
        <v>46300</v>
      </c>
      <c r="I23" s="22" t="n">
        <v>46302</v>
      </c>
      <c r="J23" s="20" t="n">
        <f aca="false">I23-H23+1</f>
        <v>3</v>
      </c>
      <c r="K23" s="23" t="s">
        <v>32</v>
      </c>
      <c r="L23" s="24"/>
      <c r="M23" s="25" t="s">
        <v>71</v>
      </c>
      <c r="N23" s="26"/>
    </row>
    <row r="24" customFormat="false" ht="42" hidden="false" customHeight="true" outlineLevel="0" collapsed="false">
      <c r="A24" s="20" t="s">
        <v>144</v>
      </c>
      <c r="B24" s="20" t="n">
        <v>3</v>
      </c>
      <c r="C24" s="21" t="s">
        <v>145</v>
      </c>
      <c r="D24" s="21" t="s">
        <v>146</v>
      </c>
      <c r="E24" s="21" t="s">
        <v>147</v>
      </c>
      <c r="F24" s="20" t="s">
        <v>51</v>
      </c>
      <c r="G24" s="20" t="s">
        <v>140</v>
      </c>
      <c r="H24" s="22" t="n">
        <v>46300</v>
      </c>
      <c r="I24" s="22" t="n">
        <v>46305</v>
      </c>
      <c r="J24" s="20" t="n">
        <f aca="false">I24-H24+1</f>
        <v>6</v>
      </c>
      <c r="K24" s="23" t="s">
        <v>32</v>
      </c>
      <c r="L24" s="24"/>
      <c r="M24" s="25" t="s">
        <v>71</v>
      </c>
      <c r="N24" s="26"/>
    </row>
    <row r="25" customFormat="false" ht="42" hidden="false" customHeight="true" outlineLevel="0" collapsed="false">
      <c r="A25" s="20" t="s">
        <v>148</v>
      </c>
      <c r="B25" s="20" t="n">
        <v>3</v>
      </c>
      <c r="C25" s="21" t="s">
        <v>67</v>
      </c>
      <c r="D25" s="21" t="s">
        <v>149</v>
      </c>
      <c r="E25" s="21" t="s">
        <v>150</v>
      </c>
      <c r="F25" s="20" t="s">
        <v>48</v>
      </c>
      <c r="G25" s="20" t="s">
        <v>140</v>
      </c>
      <c r="H25" s="22" t="n">
        <v>46302</v>
      </c>
      <c r="I25" s="22" t="n">
        <v>46303</v>
      </c>
      <c r="J25" s="20" t="n">
        <f aca="false">I25-H25+1</f>
        <v>2</v>
      </c>
      <c r="K25" s="23" t="s">
        <v>32</v>
      </c>
      <c r="L25" s="24"/>
      <c r="M25" s="20" t="s">
        <v>98</v>
      </c>
      <c r="N25" s="26"/>
    </row>
    <row r="26" customFormat="false" ht="42" hidden="false" customHeight="true" outlineLevel="0" collapsed="false">
      <c r="A26" s="20" t="s">
        <v>151</v>
      </c>
      <c r="B26" s="20" t="n">
        <v>3</v>
      </c>
      <c r="C26" s="21" t="s">
        <v>104</v>
      </c>
      <c r="D26" s="21" t="s">
        <v>152</v>
      </c>
      <c r="E26" s="21" t="s">
        <v>153</v>
      </c>
      <c r="F26" s="20" t="s">
        <v>48</v>
      </c>
      <c r="G26" s="20" t="s">
        <v>140</v>
      </c>
      <c r="H26" s="22" t="n">
        <v>46303</v>
      </c>
      <c r="I26" s="22" t="n">
        <v>46304</v>
      </c>
      <c r="J26" s="20" t="n">
        <f aca="false">I26-H26+1</f>
        <v>2</v>
      </c>
      <c r="K26" s="23" t="s">
        <v>32</v>
      </c>
      <c r="L26" s="24"/>
      <c r="M26" s="20" t="s">
        <v>154</v>
      </c>
      <c r="N26" s="26"/>
    </row>
    <row r="27" customFormat="false" ht="42" hidden="false" customHeight="true" outlineLevel="0" collapsed="false">
      <c r="A27" s="20" t="s">
        <v>155</v>
      </c>
      <c r="B27" s="20" t="n">
        <v>3</v>
      </c>
      <c r="C27" s="21" t="s">
        <v>80</v>
      </c>
      <c r="D27" s="21" t="s">
        <v>156</v>
      </c>
      <c r="E27" s="21" t="s">
        <v>157</v>
      </c>
      <c r="F27" s="20" t="s">
        <v>51</v>
      </c>
      <c r="G27" s="20" t="s">
        <v>127</v>
      </c>
      <c r="H27" s="22" t="n">
        <v>46300</v>
      </c>
      <c r="I27" s="22" t="n">
        <v>46304</v>
      </c>
      <c r="J27" s="20" t="n">
        <f aca="false">I27-H27+1</f>
        <v>5</v>
      </c>
      <c r="K27" s="23" t="s">
        <v>32</v>
      </c>
      <c r="L27" s="24"/>
      <c r="M27" s="25" t="s">
        <v>71</v>
      </c>
      <c r="N27" s="26"/>
    </row>
    <row r="28" customFormat="false" ht="42" hidden="false" customHeight="true" outlineLevel="0" collapsed="false">
      <c r="A28" s="20" t="s">
        <v>158</v>
      </c>
      <c r="B28" s="20" t="n">
        <v>3</v>
      </c>
      <c r="C28" s="21" t="s">
        <v>80</v>
      </c>
      <c r="D28" s="21" t="s">
        <v>159</v>
      </c>
      <c r="E28" s="21" t="s">
        <v>160</v>
      </c>
      <c r="F28" s="20" t="s">
        <v>48</v>
      </c>
      <c r="G28" s="20" t="s">
        <v>75</v>
      </c>
      <c r="H28" s="22" t="n">
        <v>46300</v>
      </c>
      <c r="I28" s="22" t="n">
        <v>46305</v>
      </c>
      <c r="J28" s="20" t="n">
        <f aca="false">I28-H28+1</f>
        <v>6</v>
      </c>
      <c r="K28" s="23" t="s">
        <v>32</v>
      </c>
      <c r="L28" s="24"/>
      <c r="M28" s="20" t="s">
        <v>83</v>
      </c>
      <c r="N28" s="26"/>
    </row>
    <row r="29" customFormat="false" ht="42" hidden="false" customHeight="true" outlineLevel="0" collapsed="false">
      <c r="A29" s="20" t="s">
        <v>161</v>
      </c>
      <c r="B29" s="20" t="n">
        <v>3</v>
      </c>
      <c r="C29" s="21" t="s">
        <v>162</v>
      </c>
      <c r="D29" s="21" t="s">
        <v>163</v>
      </c>
      <c r="E29" s="21" t="s">
        <v>164</v>
      </c>
      <c r="F29" s="20" t="s">
        <v>48</v>
      </c>
      <c r="G29" s="20" t="s">
        <v>130</v>
      </c>
      <c r="H29" s="22" t="n">
        <v>46301</v>
      </c>
      <c r="I29" s="22" t="n">
        <v>46303</v>
      </c>
      <c r="J29" s="20" t="n">
        <f aca="false">I29-H29+1</f>
        <v>3</v>
      </c>
      <c r="K29" s="23" t="s">
        <v>32</v>
      </c>
      <c r="L29" s="24"/>
      <c r="M29" s="20" t="s">
        <v>83</v>
      </c>
      <c r="N29" s="26"/>
    </row>
    <row r="30" customFormat="false" ht="42" hidden="false" customHeight="true" outlineLevel="0" collapsed="false">
      <c r="A30" s="20" t="s">
        <v>165</v>
      </c>
      <c r="B30" s="20" t="n">
        <v>3</v>
      </c>
      <c r="C30" s="21" t="s">
        <v>162</v>
      </c>
      <c r="D30" s="21" t="s">
        <v>166</v>
      </c>
      <c r="E30" s="21" t="s">
        <v>167</v>
      </c>
      <c r="F30" s="20" t="s">
        <v>48</v>
      </c>
      <c r="G30" s="20" t="s">
        <v>161</v>
      </c>
      <c r="H30" s="22" t="n">
        <v>46303</v>
      </c>
      <c r="I30" s="22" t="n">
        <v>46313</v>
      </c>
      <c r="J30" s="20" t="n">
        <f aca="false">I30-H30+1</f>
        <v>11</v>
      </c>
      <c r="K30" s="23" t="s">
        <v>32</v>
      </c>
      <c r="L30" s="24"/>
      <c r="M30" s="25" t="s">
        <v>71</v>
      </c>
      <c r="N30" s="26"/>
    </row>
    <row r="31" customFormat="false" ht="42" hidden="false" customHeight="true" outlineLevel="0" collapsed="false">
      <c r="A31" s="20" t="s">
        <v>168</v>
      </c>
      <c r="B31" s="20" t="n">
        <v>3</v>
      </c>
      <c r="C31" s="21" t="s">
        <v>169</v>
      </c>
      <c r="D31" s="21" t="s">
        <v>170</v>
      </c>
      <c r="E31" s="21" t="s">
        <v>171</v>
      </c>
      <c r="F31" s="20" t="s">
        <v>51</v>
      </c>
      <c r="G31" s="20" t="s">
        <v>70</v>
      </c>
      <c r="H31" s="22" t="n">
        <v>46304</v>
      </c>
      <c r="I31" s="22" t="n">
        <v>46306</v>
      </c>
      <c r="J31" s="20" t="n">
        <f aca="false">I31-H31+1</f>
        <v>3</v>
      </c>
      <c r="K31" s="23" t="s">
        <v>32</v>
      </c>
      <c r="L31" s="24"/>
      <c r="M31" s="20" t="s">
        <v>83</v>
      </c>
      <c r="N31" s="26"/>
    </row>
    <row r="32" customFormat="false" ht="42" hidden="false" customHeight="true" outlineLevel="0" collapsed="false">
      <c r="A32" s="27" t="s">
        <v>172</v>
      </c>
      <c r="B32" s="27" t="n">
        <v>4</v>
      </c>
      <c r="C32" s="28" t="s">
        <v>173</v>
      </c>
      <c r="D32" s="28" t="s">
        <v>174</v>
      </c>
      <c r="E32" s="28" t="s">
        <v>175</v>
      </c>
      <c r="F32" s="27" t="s">
        <v>52</v>
      </c>
      <c r="G32" s="27" t="s">
        <v>144</v>
      </c>
      <c r="H32" s="29" t="n">
        <v>46307</v>
      </c>
      <c r="I32" s="29" t="n">
        <v>46307</v>
      </c>
      <c r="J32" s="27" t="n">
        <f aca="false">I32-H32+1</f>
        <v>1</v>
      </c>
      <c r="K32" s="27" t="s">
        <v>32</v>
      </c>
      <c r="L32" s="29"/>
      <c r="M32" s="27" t="s">
        <v>71</v>
      </c>
      <c r="N32" s="28"/>
    </row>
    <row r="33" customFormat="false" ht="42" hidden="false" customHeight="true" outlineLevel="0" collapsed="false">
      <c r="A33" s="20" t="s">
        <v>176</v>
      </c>
      <c r="B33" s="20" t="n">
        <v>4</v>
      </c>
      <c r="C33" s="21" t="s">
        <v>177</v>
      </c>
      <c r="D33" s="21" t="s">
        <v>178</v>
      </c>
      <c r="E33" s="21" t="s">
        <v>179</v>
      </c>
      <c r="F33" s="20" t="s">
        <v>52</v>
      </c>
      <c r="G33" s="20" t="s">
        <v>155</v>
      </c>
      <c r="H33" s="22" t="n">
        <v>46307</v>
      </c>
      <c r="I33" s="22" t="n">
        <v>46311</v>
      </c>
      <c r="J33" s="20" t="n">
        <f aca="false">I33-H33+1</f>
        <v>5</v>
      </c>
      <c r="K33" s="23" t="s">
        <v>32</v>
      </c>
      <c r="L33" s="24"/>
      <c r="M33" s="25" t="s">
        <v>71</v>
      </c>
      <c r="N33" s="26"/>
    </row>
    <row r="34" customFormat="false" ht="42" hidden="false" customHeight="true" outlineLevel="0" collapsed="false">
      <c r="A34" s="20" t="s">
        <v>180</v>
      </c>
      <c r="B34" s="20" t="n">
        <v>4</v>
      </c>
      <c r="C34" s="21" t="s">
        <v>80</v>
      </c>
      <c r="D34" s="21" t="s">
        <v>181</v>
      </c>
      <c r="E34" s="21" t="s">
        <v>182</v>
      </c>
      <c r="F34" s="20" t="s">
        <v>51</v>
      </c>
      <c r="G34" s="20" t="s">
        <v>176</v>
      </c>
      <c r="H34" s="22" t="n">
        <v>46311</v>
      </c>
      <c r="I34" s="22" t="n">
        <v>46312</v>
      </c>
      <c r="J34" s="20" t="n">
        <f aca="false">I34-H34+1</f>
        <v>2</v>
      </c>
      <c r="K34" s="23" t="s">
        <v>32</v>
      </c>
      <c r="L34" s="24"/>
      <c r="M34" s="20" t="s">
        <v>83</v>
      </c>
      <c r="N34" s="26"/>
    </row>
    <row r="35" customFormat="false" ht="42" hidden="false" customHeight="true" outlineLevel="0" collapsed="false">
      <c r="A35" s="20" t="s">
        <v>183</v>
      </c>
      <c r="B35" s="20" t="n">
        <v>4</v>
      </c>
      <c r="C35" s="21" t="s">
        <v>169</v>
      </c>
      <c r="D35" s="21" t="s">
        <v>184</v>
      </c>
      <c r="E35" s="21" t="s">
        <v>185</v>
      </c>
      <c r="F35" s="20" t="s">
        <v>51</v>
      </c>
      <c r="G35" s="20" t="s">
        <v>168</v>
      </c>
      <c r="H35" s="22" t="n">
        <v>46307</v>
      </c>
      <c r="I35" s="22" t="n">
        <v>46309</v>
      </c>
      <c r="J35" s="20" t="n">
        <f aca="false">I35-H35+1</f>
        <v>3</v>
      </c>
      <c r="K35" s="23" t="s">
        <v>32</v>
      </c>
      <c r="L35" s="24"/>
      <c r="M35" s="20" t="s">
        <v>83</v>
      </c>
      <c r="N35" s="26"/>
    </row>
    <row r="36" customFormat="false" ht="42" hidden="false" customHeight="true" outlineLevel="0" collapsed="false">
      <c r="A36" s="20" t="s">
        <v>186</v>
      </c>
      <c r="B36" s="20" t="n">
        <v>4</v>
      </c>
      <c r="C36" s="21" t="s">
        <v>187</v>
      </c>
      <c r="D36" s="21" t="s">
        <v>188</v>
      </c>
      <c r="E36" s="21" t="s">
        <v>189</v>
      </c>
      <c r="F36" s="20" t="s">
        <v>48</v>
      </c>
      <c r="G36" s="20" t="s">
        <v>155</v>
      </c>
      <c r="H36" s="22" t="n">
        <v>46308</v>
      </c>
      <c r="I36" s="22" t="n">
        <v>46309</v>
      </c>
      <c r="J36" s="20" t="n">
        <f aca="false">I36-H36+1</f>
        <v>2</v>
      </c>
      <c r="K36" s="23" t="s">
        <v>32</v>
      </c>
      <c r="L36" s="24"/>
      <c r="M36" s="20" t="s">
        <v>83</v>
      </c>
      <c r="N36" s="26"/>
    </row>
    <row r="37" customFormat="false" ht="42" hidden="false" customHeight="true" outlineLevel="0" collapsed="false">
      <c r="A37" s="20" t="s">
        <v>190</v>
      </c>
      <c r="B37" s="20" t="n">
        <v>4</v>
      </c>
      <c r="C37" s="21" t="s">
        <v>187</v>
      </c>
      <c r="D37" s="21" t="s">
        <v>191</v>
      </c>
      <c r="E37" s="21" t="s">
        <v>192</v>
      </c>
      <c r="F37" s="20" t="s">
        <v>48</v>
      </c>
      <c r="G37" s="20" t="s">
        <v>186</v>
      </c>
      <c r="H37" s="22" t="n">
        <v>46309</v>
      </c>
      <c r="I37" s="22" t="n">
        <v>46311</v>
      </c>
      <c r="J37" s="20" t="n">
        <f aca="false">I37-H37+1</f>
        <v>3</v>
      </c>
      <c r="K37" s="23" t="s">
        <v>32</v>
      </c>
      <c r="L37" s="24"/>
      <c r="M37" s="20" t="s">
        <v>83</v>
      </c>
      <c r="N37" s="26"/>
    </row>
    <row r="38" customFormat="false" ht="42" hidden="false" customHeight="true" outlineLevel="0" collapsed="false">
      <c r="A38" s="20" t="s">
        <v>193</v>
      </c>
      <c r="B38" s="20" t="n">
        <v>4</v>
      </c>
      <c r="C38" s="21" t="s">
        <v>187</v>
      </c>
      <c r="D38" s="21" t="s">
        <v>194</v>
      </c>
      <c r="E38" s="21" t="s">
        <v>195</v>
      </c>
      <c r="F38" s="20" t="s">
        <v>51</v>
      </c>
      <c r="G38" s="20" t="s">
        <v>155</v>
      </c>
      <c r="H38" s="22" t="n">
        <v>46308</v>
      </c>
      <c r="I38" s="22" t="n">
        <v>46310</v>
      </c>
      <c r="J38" s="20" t="n">
        <f aca="false">I38-H38+1</f>
        <v>3</v>
      </c>
      <c r="K38" s="23" t="s">
        <v>32</v>
      </c>
      <c r="L38" s="24"/>
      <c r="M38" s="25" t="s">
        <v>71</v>
      </c>
      <c r="N38" s="26"/>
    </row>
    <row r="39" customFormat="false" ht="42" hidden="false" customHeight="true" outlineLevel="0" collapsed="false">
      <c r="A39" s="20" t="s">
        <v>196</v>
      </c>
      <c r="B39" s="20" t="n">
        <v>4</v>
      </c>
      <c r="C39" s="21" t="s">
        <v>169</v>
      </c>
      <c r="D39" s="21" t="s">
        <v>197</v>
      </c>
      <c r="E39" s="21" t="s">
        <v>198</v>
      </c>
      <c r="F39" s="20" t="s">
        <v>51</v>
      </c>
      <c r="G39" s="20" t="s">
        <v>183</v>
      </c>
      <c r="H39" s="22" t="n">
        <v>46310</v>
      </c>
      <c r="I39" s="22" t="n">
        <v>46312</v>
      </c>
      <c r="J39" s="20" t="n">
        <f aca="false">I39-H39+1</f>
        <v>3</v>
      </c>
      <c r="K39" s="23" t="s">
        <v>32</v>
      </c>
      <c r="L39" s="24"/>
      <c r="M39" s="20" t="s">
        <v>98</v>
      </c>
      <c r="N39" s="26"/>
    </row>
    <row r="40" customFormat="false" ht="42" hidden="false" customHeight="true" outlineLevel="0" collapsed="false">
      <c r="A40" s="27" t="s">
        <v>199</v>
      </c>
      <c r="B40" s="27" t="n">
        <v>4</v>
      </c>
      <c r="C40" s="28" t="s">
        <v>173</v>
      </c>
      <c r="D40" s="28" t="s">
        <v>200</v>
      </c>
      <c r="E40" s="28" t="s">
        <v>201</v>
      </c>
      <c r="F40" s="27" t="s">
        <v>52</v>
      </c>
      <c r="G40" s="27" t="s">
        <v>180</v>
      </c>
      <c r="H40" s="29" t="n">
        <v>46313</v>
      </c>
      <c r="I40" s="29" t="n">
        <v>46313</v>
      </c>
      <c r="J40" s="27" t="n">
        <f aca="false">I40-H40+1</f>
        <v>1</v>
      </c>
      <c r="K40" s="27" t="s">
        <v>32</v>
      </c>
      <c r="L40" s="29"/>
      <c r="M40" s="27" t="s">
        <v>71</v>
      </c>
      <c r="N40" s="28"/>
    </row>
    <row r="41" customFormat="false" ht="42" hidden="false" customHeight="true" outlineLevel="0" collapsed="false">
      <c r="A41" s="20" t="s">
        <v>202</v>
      </c>
      <c r="B41" s="20" t="n">
        <v>5</v>
      </c>
      <c r="C41" s="21" t="s">
        <v>187</v>
      </c>
      <c r="D41" s="21" t="s">
        <v>203</v>
      </c>
      <c r="E41" s="21" t="s">
        <v>192</v>
      </c>
      <c r="F41" s="20" t="s">
        <v>48</v>
      </c>
      <c r="G41" s="20" t="s">
        <v>165</v>
      </c>
      <c r="H41" s="22" t="n">
        <v>46314</v>
      </c>
      <c r="I41" s="22" t="n">
        <v>46315</v>
      </c>
      <c r="J41" s="20" t="n">
        <f aca="false">I41-H41+1</f>
        <v>2</v>
      </c>
      <c r="K41" s="23" t="s">
        <v>32</v>
      </c>
      <c r="L41" s="24"/>
      <c r="M41" s="20" t="s">
        <v>83</v>
      </c>
      <c r="N41" s="26"/>
    </row>
    <row r="42" customFormat="false" ht="42" hidden="false" customHeight="true" outlineLevel="0" collapsed="false">
      <c r="A42" s="20" t="s">
        <v>204</v>
      </c>
      <c r="B42" s="20" t="n">
        <v>5</v>
      </c>
      <c r="C42" s="21" t="s">
        <v>187</v>
      </c>
      <c r="D42" s="21" t="s">
        <v>205</v>
      </c>
      <c r="E42" s="21" t="s">
        <v>192</v>
      </c>
      <c r="F42" s="20" t="s">
        <v>48</v>
      </c>
      <c r="G42" s="20" t="s">
        <v>202</v>
      </c>
      <c r="H42" s="22" t="n">
        <v>46315</v>
      </c>
      <c r="I42" s="22" t="n">
        <v>46317</v>
      </c>
      <c r="J42" s="20" t="n">
        <f aca="false">I42-H42+1</f>
        <v>3</v>
      </c>
      <c r="K42" s="23" t="s">
        <v>32</v>
      </c>
      <c r="L42" s="24"/>
      <c r="M42" s="20" t="s">
        <v>83</v>
      </c>
      <c r="N42" s="26"/>
    </row>
    <row r="43" customFormat="false" ht="42" hidden="false" customHeight="true" outlineLevel="0" collapsed="false">
      <c r="A43" s="20" t="s">
        <v>206</v>
      </c>
      <c r="B43" s="20" t="n">
        <v>5</v>
      </c>
      <c r="C43" s="21" t="s">
        <v>187</v>
      </c>
      <c r="D43" s="21" t="s">
        <v>207</v>
      </c>
      <c r="E43" s="21" t="s">
        <v>192</v>
      </c>
      <c r="F43" s="20" t="s">
        <v>51</v>
      </c>
      <c r="G43" s="20" t="s">
        <v>193</v>
      </c>
      <c r="H43" s="22" t="n">
        <v>46314</v>
      </c>
      <c r="I43" s="22" t="n">
        <v>46316</v>
      </c>
      <c r="J43" s="20" t="n">
        <f aca="false">I43-H43+1</f>
        <v>3</v>
      </c>
      <c r="K43" s="23" t="s">
        <v>32</v>
      </c>
      <c r="L43" s="24"/>
      <c r="M43" s="20" t="s">
        <v>83</v>
      </c>
      <c r="N43" s="26"/>
    </row>
    <row r="44" customFormat="false" ht="42" hidden="false" customHeight="true" outlineLevel="0" collapsed="false">
      <c r="A44" s="20" t="s">
        <v>208</v>
      </c>
      <c r="B44" s="20" t="n">
        <v>5</v>
      </c>
      <c r="C44" s="21" t="s">
        <v>187</v>
      </c>
      <c r="D44" s="21" t="s">
        <v>209</v>
      </c>
      <c r="E44" s="21" t="s">
        <v>192</v>
      </c>
      <c r="F44" s="20" t="s">
        <v>51</v>
      </c>
      <c r="G44" s="20" t="s">
        <v>206</v>
      </c>
      <c r="H44" s="22" t="n">
        <v>46316</v>
      </c>
      <c r="I44" s="22" t="n">
        <v>46318</v>
      </c>
      <c r="J44" s="20" t="n">
        <f aca="false">I44-H44+1</f>
        <v>3</v>
      </c>
      <c r="K44" s="23" t="s">
        <v>32</v>
      </c>
      <c r="L44" s="24"/>
      <c r="M44" s="20" t="s">
        <v>98</v>
      </c>
      <c r="N44" s="26"/>
    </row>
    <row r="45" customFormat="false" ht="42" hidden="false" customHeight="true" outlineLevel="0" collapsed="false">
      <c r="A45" s="20" t="s">
        <v>210</v>
      </c>
      <c r="B45" s="20" t="n">
        <v>5</v>
      </c>
      <c r="C45" s="21" t="s">
        <v>211</v>
      </c>
      <c r="D45" s="21" t="s">
        <v>212</v>
      </c>
      <c r="E45" s="21" t="s">
        <v>213</v>
      </c>
      <c r="F45" s="20" t="s">
        <v>48</v>
      </c>
      <c r="G45" s="20" t="s">
        <v>165</v>
      </c>
      <c r="H45" s="22" t="n">
        <v>46314</v>
      </c>
      <c r="I45" s="22" t="n">
        <v>46317</v>
      </c>
      <c r="J45" s="20" t="n">
        <f aca="false">I45-H45+1</f>
        <v>4</v>
      </c>
      <c r="K45" s="23" t="s">
        <v>32</v>
      </c>
      <c r="L45" s="24"/>
      <c r="M45" s="25" t="s">
        <v>71</v>
      </c>
      <c r="N45" s="26"/>
    </row>
    <row r="46" customFormat="false" ht="42" hidden="false" customHeight="true" outlineLevel="0" collapsed="false">
      <c r="A46" s="20" t="s">
        <v>214</v>
      </c>
      <c r="B46" s="20" t="n">
        <v>5</v>
      </c>
      <c r="C46" s="21" t="s">
        <v>211</v>
      </c>
      <c r="D46" s="21" t="s">
        <v>215</v>
      </c>
      <c r="E46" s="21" t="s">
        <v>216</v>
      </c>
      <c r="F46" s="20" t="s">
        <v>48</v>
      </c>
      <c r="G46" s="20" t="s">
        <v>210</v>
      </c>
      <c r="H46" s="22" t="n">
        <v>46317</v>
      </c>
      <c r="I46" s="22" t="n">
        <v>46319</v>
      </c>
      <c r="J46" s="20" t="n">
        <f aca="false">I46-H46+1</f>
        <v>3</v>
      </c>
      <c r="K46" s="23" t="s">
        <v>32</v>
      </c>
      <c r="L46" s="24"/>
      <c r="M46" s="20" t="s">
        <v>83</v>
      </c>
      <c r="N46" s="26"/>
    </row>
    <row r="47" customFormat="false" ht="42" hidden="false" customHeight="true" outlineLevel="0" collapsed="false">
      <c r="A47" s="20" t="s">
        <v>217</v>
      </c>
      <c r="B47" s="20" t="n">
        <v>5</v>
      </c>
      <c r="C47" s="21" t="s">
        <v>211</v>
      </c>
      <c r="D47" s="21" t="s">
        <v>218</v>
      </c>
      <c r="E47" s="21" t="s">
        <v>219</v>
      </c>
      <c r="F47" s="20" t="s">
        <v>51</v>
      </c>
      <c r="G47" s="20" t="s">
        <v>199</v>
      </c>
      <c r="H47" s="22" t="n">
        <v>46315</v>
      </c>
      <c r="I47" s="22" t="n">
        <v>46318</v>
      </c>
      <c r="J47" s="20" t="n">
        <f aca="false">I47-H47+1</f>
        <v>4</v>
      </c>
      <c r="K47" s="23" t="s">
        <v>32</v>
      </c>
      <c r="L47" s="24"/>
      <c r="M47" s="25" t="s">
        <v>71</v>
      </c>
      <c r="N47" s="26"/>
    </row>
    <row r="48" customFormat="false" ht="42" hidden="false" customHeight="true" outlineLevel="0" collapsed="false">
      <c r="A48" s="20" t="s">
        <v>220</v>
      </c>
      <c r="B48" s="20" t="n">
        <v>5</v>
      </c>
      <c r="C48" s="21" t="s">
        <v>211</v>
      </c>
      <c r="D48" s="21" t="s">
        <v>221</v>
      </c>
      <c r="E48" s="21" t="s">
        <v>222</v>
      </c>
      <c r="F48" s="20" t="s">
        <v>51</v>
      </c>
      <c r="G48" s="20" t="s">
        <v>217</v>
      </c>
      <c r="H48" s="22" t="n">
        <v>46318</v>
      </c>
      <c r="I48" s="22" t="n">
        <v>46320</v>
      </c>
      <c r="J48" s="20" t="n">
        <f aca="false">I48-H48+1</f>
        <v>3</v>
      </c>
      <c r="K48" s="23" t="s">
        <v>32</v>
      </c>
      <c r="L48" s="24"/>
      <c r="M48" s="25" t="s">
        <v>71</v>
      </c>
      <c r="N48" s="26"/>
    </row>
    <row r="49" customFormat="false" ht="42" hidden="false" customHeight="true" outlineLevel="0" collapsed="false">
      <c r="A49" s="20" t="s">
        <v>223</v>
      </c>
      <c r="B49" s="20" t="n">
        <v>6</v>
      </c>
      <c r="C49" s="21" t="s">
        <v>211</v>
      </c>
      <c r="D49" s="21" t="s">
        <v>224</v>
      </c>
      <c r="E49" s="21" t="s">
        <v>225</v>
      </c>
      <c r="F49" s="20" t="s">
        <v>48</v>
      </c>
      <c r="G49" s="20" t="s">
        <v>214</v>
      </c>
      <c r="H49" s="22" t="n">
        <v>46321</v>
      </c>
      <c r="I49" s="22" t="n">
        <v>46322</v>
      </c>
      <c r="J49" s="20" t="n">
        <f aca="false">I49-H49+1</f>
        <v>2</v>
      </c>
      <c r="K49" s="23" t="s">
        <v>32</v>
      </c>
      <c r="L49" s="24"/>
      <c r="M49" s="20" t="s">
        <v>83</v>
      </c>
      <c r="N49" s="26"/>
    </row>
    <row r="50" customFormat="false" ht="42" hidden="false" customHeight="true" outlineLevel="0" collapsed="false">
      <c r="A50" s="20" t="s">
        <v>226</v>
      </c>
      <c r="B50" s="20" t="n">
        <v>6</v>
      </c>
      <c r="C50" s="21" t="s">
        <v>211</v>
      </c>
      <c r="D50" s="21" t="s">
        <v>227</v>
      </c>
      <c r="E50" s="21" t="s">
        <v>228</v>
      </c>
      <c r="F50" s="20" t="s">
        <v>51</v>
      </c>
      <c r="G50" s="20" t="s">
        <v>220</v>
      </c>
      <c r="H50" s="22" t="n">
        <v>46321</v>
      </c>
      <c r="I50" s="22" t="n">
        <v>46322</v>
      </c>
      <c r="J50" s="20" t="n">
        <f aca="false">I50-H50+1</f>
        <v>2</v>
      </c>
      <c r="K50" s="23" t="s">
        <v>32</v>
      </c>
      <c r="L50" s="24"/>
      <c r="M50" s="20" t="s">
        <v>98</v>
      </c>
      <c r="N50" s="26"/>
    </row>
    <row r="51" customFormat="false" ht="42" hidden="false" customHeight="true" outlineLevel="0" collapsed="false">
      <c r="A51" s="20" t="s">
        <v>229</v>
      </c>
      <c r="B51" s="20" t="n">
        <v>6</v>
      </c>
      <c r="C51" s="21" t="s">
        <v>230</v>
      </c>
      <c r="D51" s="21" t="s">
        <v>231</v>
      </c>
      <c r="E51" s="21" t="s">
        <v>232</v>
      </c>
      <c r="F51" s="20" t="s">
        <v>52</v>
      </c>
      <c r="G51" s="20" t="s">
        <v>223</v>
      </c>
      <c r="H51" s="22" t="n">
        <v>46322</v>
      </c>
      <c r="I51" s="22" t="n">
        <v>46324</v>
      </c>
      <c r="J51" s="20" t="n">
        <f aca="false">I51-H51+1</f>
        <v>3</v>
      </c>
      <c r="K51" s="23" t="s">
        <v>32</v>
      </c>
      <c r="L51" s="24"/>
      <c r="M51" s="25" t="s">
        <v>71</v>
      </c>
      <c r="N51" s="26"/>
    </row>
    <row r="52" customFormat="false" ht="42" hidden="false" customHeight="true" outlineLevel="0" collapsed="false">
      <c r="A52" s="27" t="s">
        <v>233</v>
      </c>
      <c r="B52" s="27" t="n">
        <v>6</v>
      </c>
      <c r="C52" s="28" t="s">
        <v>173</v>
      </c>
      <c r="D52" s="28" t="s">
        <v>234</v>
      </c>
      <c r="E52" s="28" t="s">
        <v>235</v>
      </c>
      <c r="F52" s="27" t="s">
        <v>52</v>
      </c>
      <c r="G52" s="27" t="s">
        <v>229</v>
      </c>
      <c r="H52" s="29" t="n">
        <v>46324</v>
      </c>
      <c r="I52" s="29" t="n">
        <v>46324</v>
      </c>
      <c r="J52" s="27" t="n">
        <f aca="false">I52-H52+1</f>
        <v>1</v>
      </c>
      <c r="K52" s="27" t="s">
        <v>32</v>
      </c>
      <c r="L52" s="29"/>
      <c r="M52" s="27" t="s">
        <v>71</v>
      </c>
      <c r="N52" s="28"/>
    </row>
    <row r="53" customFormat="false" ht="42" hidden="false" customHeight="true" outlineLevel="0" collapsed="false">
      <c r="A53" s="20" t="s">
        <v>236</v>
      </c>
      <c r="B53" s="20" t="n">
        <v>6</v>
      </c>
      <c r="C53" s="21" t="s">
        <v>237</v>
      </c>
      <c r="D53" s="21" t="s">
        <v>238</v>
      </c>
      <c r="E53" s="21" t="s">
        <v>239</v>
      </c>
      <c r="F53" s="20" t="s">
        <v>48</v>
      </c>
      <c r="G53" s="20" t="s">
        <v>229</v>
      </c>
      <c r="H53" s="22" t="n">
        <v>46323</v>
      </c>
      <c r="I53" s="22" t="n">
        <v>46325</v>
      </c>
      <c r="J53" s="20" t="n">
        <f aca="false">I53-H53+1</f>
        <v>3</v>
      </c>
      <c r="K53" s="23" t="s">
        <v>32</v>
      </c>
      <c r="L53" s="24"/>
      <c r="M53" s="20" t="s">
        <v>83</v>
      </c>
      <c r="N53" s="26"/>
    </row>
    <row r="54" customFormat="false" ht="42" hidden="false" customHeight="true" outlineLevel="0" collapsed="false">
      <c r="A54" s="20" t="s">
        <v>240</v>
      </c>
      <c r="B54" s="20" t="n">
        <v>6</v>
      </c>
      <c r="C54" s="21" t="s">
        <v>237</v>
      </c>
      <c r="D54" s="21" t="s">
        <v>241</v>
      </c>
      <c r="E54" s="21" t="s">
        <v>242</v>
      </c>
      <c r="F54" s="20" t="s">
        <v>51</v>
      </c>
      <c r="G54" s="20" t="s">
        <v>229</v>
      </c>
      <c r="H54" s="22" t="n">
        <v>46323</v>
      </c>
      <c r="I54" s="22" t="n">
        <v>46325</v>
      </c>
      <c r="J54" s="20" t="n">
        <f aca="false">I54-H54+1</f>
        <v>3</v>
      </c>
      <c r="K54" s="23" t="s">
        <v>32</v>
      </c>
      <c r="L54" s="24"/>
      <c r="M54" s="20" t="s">
        <v>83</v>
      </c>
      <c r="N54" s="26"/>
    </row>
    <row r="55" customFormat="false" ht="42" hidden="false" customHeight="true" outlineLevel="0" collapsed="false">
      <c r="A55" s="20" t="s">
        <v>243</v>
      </c>
      <c r="B55" s="20" t="n">
        <v>6</v>
      </c>
      <c r="C55" s="21" t="s">
        <v>230</v>
      </c>
      <c r="D55" s="21" t="s">
        <v>244</v>
      </c>
      <c r="E55" s="21" t="s">
        <v>245</v>
      </c>
      <c r="F55" s="20" t="s">
        <v>52</v>
      </c>
      <c r="G55" s="20" t="s">
        <v>236</v>
      </c>
      <c r="H55" s="22" t="n">
        <v>46325</v>
      </c>
      <c r="I55" s="22" t="n">
        <v>46326</v>
      </c>
      <c r="J55" s="20" t="n">
        <f aca="false">I55-H55+1</f>
        <v>2</v>
      </c>
      <c r="K55" s="23" t="s">
        <v>32</v>
      </c>
      <c r="L55" s="24"/>
      <c r="M55" s="25" t="s">
        <v>71</v>
      </c>
      <c r="N55" s="26"/>
    </row>
    <row r="56" customFormat="false" ht="42" hidden="false" customHeight="true" outlineLevel="0" collapsed="false">
      <c r="A56" s="27" t="s">
        <v>246</v>
      </c>
      <c r="B56" s="27" t="n">
        <v>6</v>
      </c>
      <c r="C56" s="28" t="s">
        <v>173</v>
      </c>
      <c r="D56" s="28" t="s">
        <v>247</v>
      </c>
      <c r="E56" s="28" t="s">
        <v>248</v>
      </c>
      <c r="F56" s="27" t="s">
        <v>52</v>
      </c>
      <c r="G56" s="27" t="s">
        <v>243</v>
      </c>
      <c r="H56" s="29" t="n">
        <v>46326</v>
      </c>
      <c r="I56" s="29" t="n">
        <v>46326</v>
      </c>
      <c r="J56" s="27" t="n">
        <f aca="false">I56-H56+1</f>
        <v>1</v>
      </c>
      <c r="K56" s="27" t="s">
        <v>32</v>
      </c>
      <c r="L56" s="29"/>
      <c r="M56" s="27" t="s">
        <v>71</v>
      </c>
      <c r="N56" s="28"/>
    </row>
  </sheetData>
  <autoFilter ref="A2:N56"/>
  <dataValidations count="1">
    <dataValidation allowBlank="false" errorStyle="stop" operator="between" showDropDown="false" showErrorMessage="false" showInputMessage="false" sqref="K3:K56" type="list">
      <formula1>"Chưa bắt đầu,Đang làm,Xong,Bị chặn"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56"/>
    <col collapsed="false" customWidth="true" hidden="false" outlineLevel="0" max="6" min="4" style="0" width="11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30" t="s">
        <v>249</v>
      </c>
    </row>
    <row r="3" customFormat="false" ht="15" hidden="false" customHeight="false" outlineLevel="0" collapsed="false">
      <c r="A3" s="19" t="s">
        <v>250</v>
      </c>
      <c r="B3" s="19" t="s">
        <v>251</v>
      </c>
      <c r="C3" s="19" t="s">
        <v>252</v>
      </c>
      <c r="D3" s="19" t="s">
        <v>253</v>
      </c>
      <c r="E3" s="19" t="s">
        <v>254</v>
      </c>
      <c r="F3" s="19" t="s">
        <v>255</v>
      </c>
      <c r="G3" s="19" t="s">
        <v>62</v>
      </c>
    </row>
    <row r="4" customFormat="false" ht="39.75" hidden="false" customHeight="true" outlineLevel="0" collapsed="false">
      <c r="A4" s="21" t="s">
        <v>256</v>
      </c>
      <c r="B4" s="21" t="s">
        <v>257</v>
      </c>
      <c r="C4" s="21" t="s">
        <v>258</v>
      </c>
      <c r="D4" s="21" t="s">
        <v>48</v>
      </c>
      <c r="E4" s="22" t="n">
        <v>46300</v>
      </c>
      <c r="F4" s="21" t="s">
        <v>155</v>
      </c>
      <c r="G4" s="23" t="s">
        <v>259</v>
      </c>
    </row>
    <row r="5" customFormat="false" ht="39.75" hidden="false" customHeight="true" outlineLevel="0" collapsed="false">
      <c r="A5" s="21" t="s">
        <v>260</v>
      </c>
      <c r="B5" s="21" t="s">
        <v>261</v>
      </c>
      <c r="C5" s="21" t="s">
        <v>262</v>
      </c>
      <c r="D5" s="21" t="s">
        <v>52</v>
      </c>
      <c r="E5" s="22" t="n">
        <v>46298</v>
      </c>
      <c r="F5" s="21" t="s">
        <v>144</v>
      </c>
      <c r="G5" s="23" t="s">
        <v>259</v>
      </c>
    </row>
    <row r="6" customFormat="false" ht="39.75" hidden="false" customHeight="true" outlineLevel="0" collapsed="false">
      <c r="A6" s="21" t="s">
        <v>263</v>
      </c>
      <c r="B6" s="21" t="s">
        <v>264</v>
      </c>
      <c r="C6" s="21" t="s">
        <v>265</v>
      </c>
      <c r="D6" s="21" t="s">
        <v>52</v>
      </c>
      <c r="E6" s="22" t="n">
        <v>46293</v>
      </c>
      <c r="F6" s="21" t="s">
        <v>123</v>
      </c>
      <c r="G6" s="23" t="s">
        <v>259</v>
      </c>
    </row>
    <row r="7" customFormat="false" ht="39.75" hidden="false" customHeight="true" outlineLevel="0" collapsed="false">
      <c r="A7" s="21" t="s">
        <v>266</v>
      </c>
      <c r="B7" s="21" t="s">
        <v>267</v>
      </c>
      <c r="C7" s="21" t="s">
        <v>268</v>
      </c>
      <c r="D7" s="21" t="s">
        <v>52</v>
      </c>
      <c r="E7" s="22" t="n">
        <v>46307</v>
      </c>
      <c r="F7" s="21" t="s">
        <v>70</v>
      </c>
      <c r="G7" s="23" t="s">
        <v>269</v>
      </c>
    </row>
    <row r="8" customFormat="false" ht="39.75" hidden="false" customHeight="true" outlineLevel="0" collapsed="false">
      <c r="A8" s="21" t="s">
        <v>270</v>
      </c>
      <c r="B8" s="21" t="s">
        <v>271</v>
      </c>
      <c r="C8" s="21" t="s">
        <v>272</v>
      </c>
      <c r="D8" s="21" t="s">
        <v>48</v>
      </c>
      <c r="E8" s="22" t="n">
        <v>46295</v>
      </c>
      <c r="F8" s="21" t="s">
        <v>165</v>
      </c>
      <c r="G8" s="23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30" t="s">
        <v>273</v>
      </c>
    </row>
    <row r="3" customFormat="false" ht="15" hidden="false" customHeight="false" outlineLevel="0" collapsed="false">
      <c r="A3" s="19" t="s">
        <v>250</v>
      </c>
      <c r="B3" s="19" t="s">
        <v>274</v>
      </c>
      <c r="C3" s="19" t="s">
        <v>275</v>
      </c>
      <c r="D3" s="19" t="s">
        <v>276</v>
      </c>
      <c r="E3" s="19" t="s">
        <v>277</v>
      </c>
      <c r="F3" s="19" t="s">
        <v>278</v>
      </c>
      <c r="G3" s="19" t="s">
        <v>279</v>
      </c>
    </row>
    <row r="4" customFormat="false" ht="45.75" hidden="false" customHeight="true" outlineLevel="0" collapsed="false">
      <c r="A4" s="21" t="s">
        <v>280</v>
      </c>
      <c r="B4" s="21" t="s">
        <v>281</v>
      </c>
      <c r="C4" s="21" t="s">
        <v>282</v>
      </c>
      <c r="D4" s="21" t="s">
        <v>283</v>
      </c>
      <c r="E4" s="21" t="s">
        <v>284</v>
      </c>
      <c r="F4" s="25" t="s">
        <v>285</v>
      </c>
      <c r="G4" s="20" t="s">
        <v>48</v>
      </c>
    </row>
    <row r="5" customFormat="false" ht="45.75" hidden="false" customHeight="true" outlineLevel="0" collapsed="false">
      <c r="A5" s="21" t="s">
        <v>286</v>
      </c>
      <c r="B5" s="21" t="s">
        <v>287</v>
      </c>
      <c r="C5" s="21" t="s">
        <v>288</v>
      </c>
      <c r="D5" s="21" t="s">
        <v>289</v>
      </c>
      <c r="E5" s="21" t="s">
        <v>290</v>
      </c>
      <c r="F5" s="25" t="s">
        <v>285</v>
      </c>
      <c r="G5" s="20" t="s">
        <v>52</v>
      </c>
    </row>
    <row r="6" customFormat="false" ht="45.75" hidden="false" customHeight="true" outlineLevel="0" collapsed="false">
      <c r="A6" s="21" t="s">
        <v>291</v>
      </c>
      <c r="B6" s="21" t="s">
        <v>292</v>
      </c>
      <c r="C6" s="21" t="s">
        <v>293</v>
      </c>
      <c r="D6" s="21" t="s">
        <v>294</v>
      </c>
      <c r="E6" s="21" t="s">
        <v>295</v>
      </c>
      <c r="F6" s="25" t="s">
        <v>296</v>
      </c>
      <c r="G6" s="20" t="s">
        <v>48</v>
      </c>
    </row>
    <row r="7" customFormat="false" ht="45.75" hidden="false" customHeight="true" outlineLevel="0" collapsed="false">
      <c r="A7" s="21" t="s">
        <v>297</v>
      </c>
      <c r="B7" s="21" t="s">
        <v>298</v>
      </c>
      <c r="C7" s="21" t="s">
        <v>299</v>
      </c>
      <c r="D7" s="21" t="s">
        <v>300</v>
      </c>
      <c r="E7" s="21" t="s">
        <v>301</v>
      </c>
      <c r="F7" s="25" t="s">
        <v>296</v>
      </c>
      <c r="G7" s="20" t="s">
        <v>52</v>
      </c>
    </row>
    <row r="8" customFormat="false" ht="45.75" hidden="false" customHeight="true" outlineLevel="0" collapsed="false">
      <c r="A8" s="21" t="s">
        <v>302</v>
      </c>
      <c r="B8" s="21" t="s">
        <v>303</v>
      </c>
      <c r="C8" s="21" t="s">
        <v>304</v>
      </c>
      <c r="D8" s="21" t="s">
        <v>305</v>
      </c>
      <c r="E8" s="21" t="s">
        <v>306</v>
      </c>
      <c r="F8" s="31" t="s">
        <v>307</v>
      </c>
      <c r="G8" s="20" t="s">
        <v>51</v>
      </c>
    </row>
    <row r="9" customFormat="false" ht="45.75" hidden="false" customHeight="true" outlineLevel="0" collapsed="false">
      <c r="A9" s="21" t="s">
        <v>308</v>
      </c>
      <c r="B9" s="21" t="s">
        <v>309</v>
      </c>
      <c r="C9" s="21" t="s">
        <v>310</v>
      </c>
      <c r="D9" s="21" t="s">
        <v>311</v>
      </c>
      <c r="E9" s="21" t="s">
        <v>312</v>
      </c>
      <c r="F9" s="31" t="s">
        <v>307</v>
      </c>
      <c r="G9" s="20" t="s">
        <v>48</v>
      </c>
    </row>
    <row r="10" customFormat="false" ht="45.75" hidden="false" customHeight="true" outlineLevel="0" collapsed="false">
      <c r="A10" s="21" t="s">
        <v>313</v>
      </c>
      <c r="B10" s="21" t="s">
        <v>314</v>
      </c>
      <c r="C10" s="21" t="s">
        <v>315</v>
      </c>
      <c r="D10" s="21" t="s">
        <v>316</v>
      </c>
      <c r="E10" s="21" t="s">
        <v>317</v>
      </c>
      <c r="F10" s="31" t="s">
        <v>307</v>
      </c>
      <c r="G10" s="20" t="s">
        <v>48</v>
      </c>
    </row>
    <row r="11" customFormat="false" ht="45.75" hidden="false" customHeight="true" outlineLevel="0" collapsed="false">
      <c r="A11" s="21" t="s">
        <v>318</v>
      </c>
      <c r="B11" s="21" t="s">
        <v>319</v>
      </c>
      <c r="C11" s="21" t="s">
        <v>320</v>
      </c>
      <c r="D11" s="21" t="s">
        <v>321</v>
      </c>
      <c r="E11" s="21" t="s">
        <v>322</v>
      </c>
      <c r="F11" s="31" t="s">
        <v>323</v>
      </c>
      <c r="G11" s="2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2026-09-21T06:43:15Z</dcterms:created>
  <dc:creator>openpyxl</dc:creator>
  <dc:description/>
  <dc:language>en-US</dc:language>
  <cp:lastModifiedBy/>
  <dcterms:modified xsi:type="dcterms:W3CDTF">2026-09-21T06:43:15Z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